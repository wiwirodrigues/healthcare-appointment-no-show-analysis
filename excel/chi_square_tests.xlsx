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itoria\Desktop\No-Show vAnalysis\"/>
    </mc:Choice>
  </mc:AlternateContent>
  <xr:revisionPtr revIDLastSave="0" documentId="13_ncr:1_{70D31AEE-4CCD-4D9D-9F30-FDC620209924}" xr6:coauthVersionLast="47" xr6:coauthVersionMax="47" xr10:uidLastSave="{00000000-0000-0000-0000-000000000000}"/>
  <bookViews>
    <workbookView xWindow="-108" yWindow="-108" windowWidth="23256" windowHeight="13896" tabRatio="500" firstSheet="13" activeTab="16" xr2:uid="{00000000-000D-0000-FFFF-FFFF00000000}"/>
  </bookViews>
  <sheets>
    <sheet name="Overview" sheetId="1" r:id="rId1"/>
    <sheet name="Method" sheetId="2" r:id="rId2"/>
    <sheet name="H1.1_Lead_Time" sheetId="3" r:id="rId3"/>
    <sheet name="H1.2_Weekday" sheetId="4" r:id="rId4"/>
    <sheet name="H1.3_Concentration" sheetId="5" r:id="rId5"/>
    <sheet name="H2.1_SMS_Raw" sheetId="6" r:id="rId6"/>
    <sheet name="H2.2_SMS_Controlled" sheetId="7" r:id="rId7"/>
    <sheet name="H3.1_Age" sheetId="8" r:id="rId8"/>
    <sheet name="H3.1_Gender" sheetId="9" r:id="rId9"/>
    <sheet name="H3.2_Scholarship" sheetId="10" r:id="rId10"/>
    <sheet name="H3.3_Hypertension" sheetId="11" r:id="rId11"/>
    <sheet name="H3.3_Diabetes" sheetId="12" r:id="rId12"/>
    <sheet name="H3.3_Alcoholism" sheetId="13" r:id="rId13"/>
    <sheet name="H3.3_Disability" sheetId="14" r:id="rId14"/>
    <sheet name="H3.4_History" sheetId="15" r:id="rId15"/>
    <sheet name="H4.1_Neighborhoods" sheetId="16" r:id="rId16"/>
    <sheet name="H4.2_Neighborhoods_Ctrl" sheetId="17" r:id="rId1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<sst xmlns="http://schemas.openxmlformats.org/spreadsheetml/2006/main" count="784" uniqueCount="340">
  <si>
    <t>Healthcare Appointment No-Show Analysis · Chi-Square Tests</t>
  </si>
  <si>
    <t>Statistical tests behind the hypothesis tree · Medical Appointment No-Shows (Kaggle) · Vitória, Brazil · April 29 – June 8, 2016</t>
  </si>
  <si>
    <t>Valid appointments</t>
  </si>
  <si>
    <t>No-shows</t>
  </si>
  <si>
    <t>Overall no-show rate</t>
  </si>
  <si>
    <t>Central question: how can we reduce no-shows to medical appointments?</t>
  </si>
  <si>
    <t>Each hypothesis has its own sheet with observed and expected counts, contributions, test summary, verdict and reading. Click a sheet name to open it. See "Method" for why chi-square was used and how verdicts were decided.</t>
  </si>
  <si>
    <t>Sheet</t>
  </si>
  <si>
    <t>Hypothesis</t>
  </si>
  <si>
    <t>Test</t>
  </si>
  <si>
    <t>Key result</t>
  </si>
  <si>
    <t>Verdict</t>
  </si>
  <si>
    <t>H1 · Scheduling process</t>
  </si>
  <si>
    <t>H1.1_Lead_Time</t>
  </si>
  <si>
    <t>Longer lead time → more no-shows</t>
  </si>
  <si>
    <t>Chi-square 6 × 2 (5 d.f.)</t>
  </si>
  <si>
    <t>H1.2_Weekday</t>
  </si>
  <si>
    <t>Rate varies by weekday</t>
  </si>
  <si>
    <t>Chi-square 5 × 2 (4 d.f.)</t>
  </si>
  <si>
    <t>H1.3_Concentration</t>
  </si>
  <si>
    <t>One or two lead-time groups hold &gt; 50% of no-shows</t>
  </si>
  <si>
    <t>Distribution (no test)</t>
  </si>
  <si>
    <t>H2 · Communication</t>
  </si>
  <si>
    <t>H2.1_SMS_Raw</t>
  </si>
  <si>
    <t>SMS vs no SMS, raw</t>
  </si>
  <si>
    <t>Chi-square 2 × 2 (1 d.f.)</t>
  </si>
  <si>
    <t>H2.2_SMS_Controlled</t>
  </si>
  <si>
    <t>SMS effect within the same lead-time group</t>
  </si>
  <si>
    <t>Chi-square 2 × 2 per group</t>
  </si>
  <si>
    <t>H3 · Patient characteristics</t>
  </si>
  <si>
    <t>H3.1_Age</t>
  </si>
  <si>
    <t>Rate varies by age group</t>
  </si>
  <si>
    <t>H3.1_Gender</t>
  </si>
  <si>
    <t>Rate differs between women and men</t>
  </si>
  <si>
    <t>H3.3_Hypertension</t>
  </si>
  <si>
    <t>Hypertension</t>
  </si>
  <si>
    <t>H3.3_Diabetes</t>
  </si>
  <si>
    <t>Diabetes</t>
  </si>
  <si>
    <t>H3.3_Alcoholism</t>
  </si>
  <si>
    <t>Alcoholism</t>
  </si>
  <si>
    <t>H3.3_Disability</t>
  </si>
  <si>
    <t>Disability</t>
  </si>
  <si>
    <t>H3.4_History</t>
  </si>
  <si>
    <t>Prior no-show → more no-shows</t>
  </si>
  <si>
    <t>Chi-square 3 × 2 (2 d.f.)</t>
  </si>
  <si>
    <t>H4 · Geographic context</t>
  </si>
  <si>
    <t>H4.1_Neighborhoods</t>
  </si>
  <si>
    <t>Some neighborhoods ≥ 3 p.p. above average</t>
  </si>
  <si>
    <t>Chi-square 69 × 2 (68 d.f.)</t>
  </si>
  <si>
    <t>H4.2_Neighborhoods_Ctrl</t>
  </si>
  <si>
    <t>Gap persists within lead-time groups</t>
  </si>
  <si>
    <t>Rate comparison per group</t>
  </si>
  <si>
    <t>Built in Excel from pivot tables on the cleaned dataset. Blue numbers are inputs; all other values are formulas.</t>
  </si>
  <si>
    <t>Method and glossary →</t>
  </si>
  <si>
    <t>Method and glossary</t>
  </si>
  <si>
    <t>← Back to Overview</t>
  </si>
  <si>
    <t>Why the chi-square test</t>
  </si>
  <si>
    <t>Categorical outcome</t>
  </si>
  <si>
    <t>No-show (Yes/No) is a proportion, not an average, so t-tests do not apply.</t>
  </si>
  <si>
    <t>Categorical predictors</t>
  </si>
  <si>
    <t>Lead-time group, SMS, age group, neighborhood... One test covers all groups at once.</t>
  </si>
  <si>
    <t>Assumptions</t>
  </si>
  <si>
    <t>Expected count ≥ 5 per cell. Small groups were excluded (Saturday, neighborhoods &lt; 200 appointments). Some patients have several appointments, so observations are not fully independent.</t>
  </si>
  <si>
    <t>Transparent</t>
  </si>
  <si>
    <t>Compares observed counts with the counts expected if there were no relationship: E = row total × column total ÷ grand total.</t>
  </si>
  <si>
    <t>Decision rule</t>
  </si>
  <si>
    <t>Confirmed</t>
  </si>
  <si>
    <t>p &lt; 0.05 AND rate difference ≥ criterion (5 p.p. for lead time, 3 p.p. otherwise).</t>
  </si>
  <si>
    <t>Confirmed (weak)</t>
  </si>
  <si>
    <t>Confirmed, but Cramér's V &lt; 0.05: the effect exists but explains little of the variation.</t>
  </si>
  <si>
    <t>Rejected</t>
  </si>
  <si>
    <t>p ≥ 0.05, or the difference is below the criterion (statistically significant but too small to matter).</t>
  </si>
  <si>
    <t>Inconclusive</t>
  </si>
  <si>
    <t>The comparison is confounded by another variable (raw SMS comparison, H2.1).</t>
  </si>
  <si>
    <t>Measures</t>
  </si>
  <si>
    <t>Chi-square (χ²)</t>
  </si>
  <si>
    <t>Sum of (Observed − Expected)² ÷ Expected. The larger, the further the data are from "no relationship".</t>
  </si>
  <si>
    <t>Degrees of freedom</t>
  </si>
  <si>
    <t>(rows − 1) × (columns − 1). Sets the critical value (3.84 for 1 d.f., 11.07 for 5 d.f.).</t>
  </si>
  <si>
    <t>p-value</t>
  </si>
  <si>
    <t>Probability of a difference this large if there were no relationship. With 110,000 rows almost everything is &lt; 0.05.</t>
  </si>
  <si>
    <t>Cramér's V</t>
  </si>
  <si>
    <t>Strength of association from 0 to 1, independent of sample size. √(χ² ÷ N) for tables with two columns.</t>
  </si>
  <si>
    <t>Rate difference</t>
  </si>
  <si>
    <t>Highest rate minus lowest rate (or group B minus group A) in percentage points. p.p. is not %.</t>
  </si>
  <si>
    <t>Limitations</t>
  </si>
  <si>
    <t>Association, not causation</t>
  </si>
  <si>
    <t>Observational data. Only a controlled pilot (A/B test) can prove the effect of an action.</t>
  </si>
  <si>
    <t>Repeated patients</t>
  </si>
  <si>
    <t>Some patients have several appointments, which partly violates independence: p-values are slightly optimistic.</t>
  </si>
  <si>
    <t>Confounding</t>
  </si>
  <si>
    <t>The test compares two variables at a time. Stratified tests (H2.2, H4.2) were used where a confounder was likely.</t>
  </si>
  <si>
    <t>Before/after designs</t>
  </si>
  <si>
    <t>Measuring the same patients twice needs McNemar's test, not chi-square.</t>
  </si>
  <si>
    <t>Period</t>
  </si>
  <si>
    <t>April 29 to June 8, 2016 only (about six weeks); no-show history is truncated at the start of the period.</t>
  </si>
  <si>
    <t>Colour legend</t>
  </si>
  <si>
    <t>Blue numbers</t>
  </si>
  <si>
    <t>Observed counts taken from pivot tables on the cleaned dataset (110,521 appointments). These are the inputs.</t>
  </si>
  <si>
    <t>Black numbers</t>
  </si>
  <si>
    <t>Calculated with formulas. Changing an input updates the whole test.</t>
  </si>
  <si>
    <t>H1.1 · Lead time</t>
  </si>
  <si>
    <t>Hypothesis: Appointments booked further in advance have a higher no-show rate.</t>
  </si>
  <si>
    <t>Chi-square test of independence · Observed counts (blue) come from pivot tables on the cleaned dataset; everything else is calculated.</t>
  </si>
  <si>
    <t>Observed</t>
  </si>
  <si>
    <t>Expected (if no relationship)</t>
  </si>
  <si>
    <t>Contribution (O − E)² / E</t>
  </si>
  <si>
    <t>Lead time group</t>
  </si>
  <si>
    <t>No</t>
  </si>
  <si>
    <t>Yes</t>
  </si>
  <si>
    <t>Total</t>
  </si>
  <si>
    <t>No-show rate</t>
  </si>
  <si>
    <t>Expected No</t>
  </si>
  <si>
    <t>Expected Yes</t>
  </si>
  <si>
    <t>Contribution No</t>
  </si>
  <si>
    <t>Contribution Yes</t>
  </si>
  <si>
    <t>Same day</t>
  </si>
  <si>
    <t>1–3 days</t>
  </si>
  <si>
    <t>4–7 days</t>
  </si>
  <si>
    <t>8–15 days</t>
  </si>
  <si>
    <t>16–30 days</t>
  </si>
  <si>
    <t>31+ days</t>
  </si>
  <si>
    <t>Test summary</t>
  </si>
  <si>
    <t>Measure</t>
  </si>
  <si>
    <t>Value</t>
  </si>
  <si>
    <t>Criterion</t>
  </si>
  <si>
    <t>Met?</t>
  </si>
  <si>
    <t>&gt; critical value</t>
  </si>
  <si>
    <t>(r − 1)(c − 1)</t>
  </si>
  <si>
    <t>—</t>
  </si>
  <si>
    <t>Critical value (α = 0.05)</t>
  </si>
  <si>
    <t>&lt; 0.05</t>
  </si>
  <si>
    <t>see Method</t>
  </si>
  <si>
    <t>Reading</t>
  </si>
  <si>
    <t>The no-show rate rises in every group, from 4.6% (same day) to 33.0% (31+ days). The biggest jump is between same day and 1–3 days. Lead time = days between the booking date and the appointment date. Association, not causation: same-day appointments may be walk-ins or urgent cases.</t>
  </si>
  <si>
    <t>H1.2 · Day of the week</t>
  </si>
  <si>
    <t>Hypothesis: The no-show rate varies by weekday.</t>
  </si>
  <si>
    <t>Weekday</t>
  </si>
  <si>
    <t>Monday</t>
  </si>
  <si>
    <t>Tuesday</t>
  </si>
  <si>
    <t>Wednesday</t>
  </si>
  <si>
    <t>Thursday</t>
  </si>
  <si>
    <t>Friday</t>
  </si>
  <si>
    <t>Statistically significant only because of the large sample: the rate stays between 19.3% (Thursday) and 21.2% (Friday), and Cramér's V is negligible. Saturday was excluded (39 appointments, unstable rate). No weekday-specific action is justified.</t>
  </si>
  <si>
    <t>H1.3 · Concentration of no-shows</t>
  </si>
  <si>
    <t>Hypothesis: One or two lead-time groups account for more than 50% of all no-shows.</t>
  </si>
  <si>
    <t>Distribution analysis (no statistical test) · Uses the observed counts of H1.1</t>
  </si>
  <si>
    <t>Share of appointments vs share of no-shows</t>
  </si>
  <si>
    <t>Share of appointments</t>
  </si>
  <si>
    <t>Share of no-shows</t>
  </si>
  <si>
    <t>Concentration index</t>
  </si>
  <si>
    <t>Top two groups, share of no-shows</t>
  </si>
  <si>
    <t>Appointments booked 1+ days ahead, share of no-shows</t>
  </si>
  <si>
    <t>Appointments booked 1+ days ahead, share of appointments</t>
  </si>
  <si>
    <t>No-shows are spread across the groups of 1+ days, so the 50% criterion is not met. The real divide is "same day" vs "another day": appointments booked one or more days ahead hold 65% of appointments but 92% of no-shows. The 4–7 group produces more no-shows than 31+ despite a lower rate because it has more appointments (no-shows = appointments × rate).</t>
  </si>
  <si>
    <t>H2.1 · SMS reminder (raw comparison)</t>
  </si>
  <si>
    <t>Hypothesis: The no-show rate differs between appointments with and without an SMS.</t>
  </si>
  <si>
    <t>SMS received</t>
  </si>
  <si>
    <t>Without SMS</t>
  </si>
  <si>
    <t>With SMS</t>
  </si>
  <si>
    <t>Inconclusive (confounded)</t>
  </si>
  <si>
    <t>In the raw data, the SMS group misses MORE (+10.9 p.p.). This is confounded by lead time: SMS is sent almost only to appointments booked 4+ days ahead, which already miss more (0% of same-day appointments receive an SMS vs ~60% of those booked 4+ days ahead). See H2.2 for the controlled comparison.</t>
  </si>
  <si>
    <t>H2.2 · SMS reminder within the same lead-time group</t>
  </si>
  <si>
    <t>Hypothesis: Within the same lead-time group, appointments with an SMS have a lower no-show rate.</t>
  </si>
  <si>
    <t>Chi-square 2 × 2 run separately in each lead-time group (stratified test) · χ² = N(ad − bc)² / [(a+b)(c+d)(a+c)(b+d)], 1 d.f.</t>
  </si>
  <si>
    <t>Observed counts and rates by lead-time group</t>
  </si>
  <si>
    <t>No (no SMS)</t>
  </si>
  <si>
    <t>Yes (no SMS)</t>
  </si>
  <si>
    <t>No (SMS)</t>
  </si>
  <si>
    <t>Yes (SMS)</t>
  </si>
  <si>
    <t>Rate without SMS</t>
  </si>
  <si>
    <t>Rate with SMS</t>
  </si>
  <si>
    <t>Difference</t>
  </si>
  <si>
    <t>χ²</t>
  </si>
  <si>
    <t>Groups where SMS lowers the rate</t>
  </si>
  <si>
    <t>Most groups</t>
  </si>
  <si>
    <t>Groups with p &lt; 0.05 and |diff| ≥ 3 p.p.</t>
  </si>
  <si>
    <t>Largest reduction</t>
  </si>
  <si>
    <t>Simpson's paradox: once lead time is held constant, the SMS group has 3.1 to 7.3 p.p. fewer no-shows in every group of 4+ days, and the effect grows with lead time. The 1–3 days difference is not significant (only 906 appointments with SMS); same-day appointments receive no SMS. Association, not causation: we do not know why ~40% of 4+ day appointments received no SMS.</t>
  </si>
  <si>
    <t>H3.1 · Age group</t>
  </si>
  <si>
    <t>Hypothesis: The no-show rate varies by age group.</t>
  </si>
  <si>
    <t>Age group</t>
  </si>
  <si>
    <t>Child (0–12)</t>
  </si>
  <si>
    <t>Teen (13–19)</t>
  </si>
  <si>
    <t>Young Adult (20–39)</t>
  </si>
  <si>
    <t>Adult (40–59)</t>
  </si>
  <si>
    <t>Senior (60+)</t>
  </si>
  <si>
    <t>No-shows peak among teenagers (26.0%) and fall steadily to seniors (15.3%). Seniors account for ~45% of χ² by missing far less than expected; teenagers and young adults account for about half by missing more.</t>
  </si>
  <si>
    <t>H3.1 · Gender</t>
  </si>
  <si>
    <t>Hypothesis: The no-show rate differs between women and men.</t>
  </si>
  <si>
    <t>Gender</t>
  </si>
  <si>
    <t>Female</t>
  </si>
  <si>
    <t>Male</t>
  </si>
  <si>
    <t>Women book almost twice as many appointments, but once booked, women and men miss at the same rate (p = 0.17). No evidence of a difference.</t>
  </si>
  <si>
    <t>Hypothesis: Beneficiaries have a different no-show rate.</t>
  </si>
  <si>
    <t>Bolsa Família</t>
  </si>
  <si>
    <t>Not a beneficiary</t>
  </si>
  <si>
    <t>Beneficiary</t>
  </si>
  <si>
    <t>Beneficiaries miss 3.9 p.p. more, just above the criterion, but the association is negligible (V = 0.03) and may reflect age, neighborhood or lead time. Any action should reduce access barriers, never penalize beneficiaries.</t>
  </si>
  <si>
    <t>H3.3 · Hypertension</t>
  </si>
  <si>
    <t>Hypothesis: Patients with hypertension have a different no-show rate.</t>
  </si>
  <si>
    <t>Condition</t>
  </si>
  <si>
    <t>Without hypertension</t>
  </si>
  <si>
    <t>With hypertension</t>
  </si>
  <si>
    <t>Hypertensive patients miss 3.6 p.p. less. Part of this may be an age effect: seniors miss less and make up most hypertensive patients.</t>
  </si>
  <si>
    <t>H3.3 · Diabetes</t>
  </si>
  <si>
    <t>Hypothesis: Patients with diabetes have a different no-show rate.</t>
  </si>
  <si>
    <t>Without diabetes</t>
  </si>
  <si>
    <t>With diabetes</t>
  </si>
  <si>
    <t>Diabetic patients miss slightly less, but the 2.4 p.p. difference is below the criterion.</t>
  </si>
  <si>
    <t>H3.3 · Alcoholism</t>
  </si>
  <si>
    <t>Hypothesis: Patients with alcoholism have a different no-show rate.</t>
  </si>
  <si>
    <t>Without alcoholism</t>
  </si>
  <si>
    <t>With alcoholism</t>
  </si>
  <si>
    <t>Virtually identical rates (p = 0.95). Alcoholism is likely under-reported in the records.</t>
  </si>
  <si>
    <t>H3.3 · Disability</t>
  </si>
  <si>
    <t>Hypothesis: Patients with a disability have a different no-show rate.</t>
  </si>
  <si>
    <t>Without disability</t>
  </si>
  <si>
    <t>With disability</t>
  </si>
  <si>
    <t>Patients with a disability miss slightly less, but the 2.1 p.p. difference is below the criterion and p = 0.012 is close to the threshold.</t>
  </si>
  <si>
    <t>H3.4 · No-show history</t>
  </si>
  <si>
    <t>Hypothesis: Patients who missed before have a higher no-show rate.</t>
  </si>
  <si>
    <t>History</t>
  </si>
  <si>
    <t>First visit</t>
  </si>
  <si>
    <t>Returning, no prior no-show</t>
  </si>
  <si>
    <t>Prior no-show</t>
  </si>
  <si>
    <t>Patients with a prior no-show miss 26.9% of the time, 8.0 p.p. more than returning patients who never missed. About 87% of χ² comes from this group. First-time patients (19.4%) look like those who never missed. History only covers April 29 – June 8, 2016.</t>
  </si>
  <si>
    <t>H4.1 · Neighborhoods above average</t>
  </si>
  <si>
    <t>Hypothesis: Some neighborhoods have no-show rates at least 3 p.p. above the overall average.</t>
  </si>
  <si>
    <t>Chi-square 69 × 2 · Only neighborhoods with ≥ 200 appointments (small groups give unstable rates) · Neighborhood = where the patient lives</t>
  </si>
  <si>
    <t>Observed (sorted by no-show rate)</t>
  </si>
  <si>
    <t>Expected</t>
  </si>
  <si>
    <t>Contribution</t>
  </si>
  <si>
    <t>Neighborhood</t>
  </si>
  <si>
    <t>Diff vs average</t>
  </si>
  <si>
    <t>≥ 3 p.p. above?</t>
  </si>
  <si>
    <t>Santos Dumont</t>
  </si>
  <si>
    <t>Santa Cecília</t>
  </si>
  <si>
    <t>Santa Clara</t>
  </si>
  <si>
    <t>Itararé</t>
  </si>
  <si>
    <t>Jesus De Nazareth</t>
  </si>
  <si>
    <t>Ilha Do Príncipe</t>
  </si>
  <si>
    <t>Caratoíra</t>
  </si>
  <si>
    <t>Andorinhas</t>
  </si>
  <si>
    <t>Praia Do Suá</t>
  </si>
  <si>
    <t>Gurigica</t>
  </si>
  <si>
    <t>Bento Ferreira</t>
  </si>
  <si>
    <t>Parque Moscoso</t>
  </si>
  <si>
    <t>Maruípe</t>
  </si>
  <si>
    <t>Do Moscoso</t>
  </si>
  <si>
    <t>Enseada Do Suá</t>
  </si>
  <si>
    <t>Ariovaldo Favalessa</t>
  </si>
  <si>
    <t>Ilha Das Caieiras</t>
  </si>
  <si>
    <t>Fonte Grande</t>
  </si>
  <si>
    <t>Cruzamento</t>
  </si>
  <si>
    <t>São José</t>
  </si>
  <si>
    <t>Barro Vermelho</t>
  </si>
  <si>
    <t>Romão</t>
  </si>
  <si>
    <t>Centro</t>
  </si>
  <si>
    <t>São Pedro</t>
  </si>
  <si>
    <t>Maria Ortiz</t>
  </si>
  <si>
    <t>Santos Reis</t>
  </si>
  <si>
    <t>Resistência</t>
  </si>
  <si>
    <t>Santa Tereza</t>
  </si>
  <si>
    <t>Grande Vitória</t>
  </si>
  <si>
    <t>Monte Belo</t>
  </si>
  <si>
    <t>Bela Vista</t>
  </si>
  <si>
    <t>São Benedito</t>
  </si>
  <si>
    <t>Bonfim</t>
  </si>
  <si>
    <t>São Cristóvão</t>
  </si>
  <si>
    <t>Santo André</t>
  </si>
  <si>
    <t>Estrelinha</t>
  </si>
  <si>
    <t>Santa Lúcia</t>
  </si>
  <si>
    <t>Goiabeiras</t>
  </si>
  <si>
    <t>Piedade</t>
  </si>
  <si>
    <t>Da Penha</t>
  </si>
  <si>
    <t>Jucutuquara</t>
  </si>
  <si>
    <t>Ilha De Santa Maria</t>
  </si>
  <si>
    <t>Inhanguetá</t>
  </si>
  <si>
    <t>Jardim Camburi</t>
  </si>
  <si>
    <t>Conquista</t>
  </si>
  <si>
    <t>Fradinhos</t>
  </si>
  <si>
    <t>Boa Vista</t>
  </si>
  <si>
    <t>Antônio Honório</t>
  </si>
  <si>
    <t>Praia Do Canto</t>
  </si>
  <si>
    <t>Forte São João</t>
  </si>
  <si>
    <t>Tabuazeiro</t>
  </si>
  <si>
    <t>Joana D´Arc</t>
  </si>
  <si>
    <t>Comdusa</t>
  </si>
  <si>
    <t>Santa Luíza</t>
  </si>
  <si>
    <t>Jabour</t>
  </si>
  <si>
    <t>Nova Palestina</t>
  </si>
  <si>
    <t>Redenção</t>
  </si>
  <si>
    <t>Santo Antônio</t>
  </si>
  <si>
    <t>Consolação</t>
  </si>
  <si>
    <t>República</t>
  </si>
  <si>
    <t>Mata Da Praia</t>
  </si>
  <si>
    <t>Vila Rubim</t>
  </si>
  <si>
    <t>Do Quadro</t>
  </si>
  <si>
    <t>Jardim Da Penha</t>
  </si>
  <si>
    <t>Santa Martha</t>
  </si>
  <si>
    <t>Do Cabral</t>
  </si>
  <si>
    <t>De Lourdes</t>
  </si>
  <si>
    <t>Solon Borges</t>
  </si>
  <si>
    <t>Mário Cypreste</t>
  </si>
  <si>
    <t>Neighborhoods ≥ 3 p.p. above average</t>
  </si>
  <si>
    <t>Their share of appointments</t>
  </si>
  <si>
    <t>Their share of no-shows</t>
  </si>
  <si>
    <t>No-shows avoided if they matched the average</t>
  </si>
  <si>
    <t>Six neighborhoods miss at least 3 p.p. more than average, led by Santos Dumont (28.9%) and Itararé (26.3%). Together they hold ~10% of appointments and ~13% of no-shows, so neighborhood-specific action has limited impact. With 69 neighborhoods some differences arise by chance; the most solid are the large ones (Itararé, Santos Dumont, Jesus de Nazareth).</t>
  </si>
  <si>
    <t>Excluded: 12 neighborhoods with &lt; 200 appointments (1,006 appointments)</t>
  </si>
  <si>
    <t>Santa Helena</t>
  </si>
  <si>
    <t>Horto</t>
  </si>
  <si>
    <t>Universitário</t>
  </si>
  <si>
    <t>Segurança Do Lar</t>
  </si>
  <si>
    <t>Nazareth</t>
  </si>
  <si>
    <t>Morada De Camburi</t>
  </si>
  <si>
    <t>Pontal De Camburi</t>
  </si>
  <si>
    <t>Ilha Do Boi</t>
  </si>
  <si>
    <t>Ilha Do Frade</t>
  </si>
  <si>
    <t>Aeroporto</t>
  </si>
  <si>
    <t>Ilhas Oceânicas De Trindade</t>
  </si>
  <si>
    <t>Parque Industrial</t>
  </si>
  <si>
    <t>H4.2 · Neighborhood gap within the same lead-time group</t>
  </si>
  <si>
    <t>Hypothesis: The six above-average neighborhoods still miss more after controlling for lead time.</t>
  </si>
  <si>
    <t>Rate comparison within each lead-time group (6 neighborhoods from H4.1 vs all others)</t>
  </si>
  <si>
    <t>No (other)</t>
  </si>
  <si>
    <t>Yes (other)</t>
  </si>
  <si>
    <t>No (6 neigh.)</t>
  </si>
  <si>
    <t>Yes (6 neigh.)</t>
  </si>
  <si>
    <t>Rate other</t>
  </si>
  <si>
    <t>Rate 6 neigh.</t>
  </si>
  <si>
    <t>Groups with a positive gap</t>
  </si>
  <si>
    <t>All groups</t>
  </si>
  <si>
    <t>Groups with gap ≥ 3 p.p.</t>
  </si>
  <si>
    <t>Largest gap</t>
  </si>
  <si>
    <t>The gap is positive in every lead-time group and grows with lead time, from +1.2 p.p. (same day) to +12.0 p.p. (16–30 days). Both groups have a similar lead-time mix, so lead time does not explain the neighborhood effect. Neighborhood may stand for income, distance or transport, which the data cannot separate.</t>
  </si>
  <si>
    <t>H3.2_Scholarship (cash-transfer program)</t>
  </si>
  <si>
    <t>Scholarship beneficiaries differ</t>
  </si>
  <si>
    <t>H3.2_Scholarship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</si>
</sst>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%"/>
    <numFmt numFmtId="165" formatCode="\+0.0&quot; p.p.&quot;;\-0.0&quot; p.p.&quot;;0.0&quot; p.p.&quot;"/>
    <numFmt numFmtId="166" formatCode="#,##0.0"/>
    <numFmt numFmtId="167" formatCode="[&lt;0.001]&quot;&lt; 0.001&quot;;0.000"/>
    <numFmt numFmtId="168" formatCode="0.000"/>
    <numFmt numFmtId="169" formatCode="&quot;≥ &quot;0&quot; p.p.&quot;"/>
    <numFmt numFmtId="170" formatCode="&quot;&gt; &quot;0%"/>
    <numFmt numFmtId="171" formatCode="0&quot; of 5&quot;"/>
    <numFmt numFmtId="172" formatCode="0&quot; of 6&quot;"/>
  </numFmts>
  <fonts count="18" x14ac:knownFonts="1">
    <font>
      <sz val="11"/>
      <color theme="1"/>
      <name val="Calibri"/>
      <family val="2"/>
      <charset val="1"/>
    </font>
    <font>
      <b/>
      <sz val="16"/>
      <color rgb="FF1F3A5F"/>
      <name val="Arial"/>
      <charset val="1"/>
    </font>
    <font>
      <i/>
      <sz val="10"/>
      <color rgb="FF595959"/>
      <name val="Arial"/>
      <charset val="1"/>
    </font>
    <font>
      <b/>
      <sz val="9"/>
      <color rgb="FF595959"/>
      <name val="Arial"/>
      <charset val="1"/>
    </font>
    <font>
      <b/>
      <sz val="18"/>
      <color rgb="FF1F3A5F"/>
      <name val="Arial"/>
      <charset val="1"/>
    </font>
    <font>
      <b/>
      <sz val="11"/>
      <color rgb="FF1F3A5F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0"/>
      <color rgb="FF1F3A5F"/>
      <name val="Arial"/>
      <charset val="1"/>
    </font>
    <font>
      <u/>
      <sz val="10"/>
      <color rgb="FF0563C1"/>
      <name val="Arial"/>
      <charset val="1"/>
    </font>
    <font>
      <b/>
      <sz val="10"/>
      <color rgb="FFC0612F"/>
      <name val="Arial"/>
      <charset val="1"/>
    </font>
    <font>
      <b/>
      <sz val="11"/>
      <color rgb="FFC0612F"/>
      <name val="Arial"/>
      <charset val="1"/>
    </font>
    <font>
      <b/>
      <sz val="10"/>
      <name val="Arial"/>
      <charset val="1"/>
    </font>
    <font>
      <b/>
      <sz val="10"/>
      <color rgb="FF0000FF"/>
      <name val="Arial"/>
      <charset val="1"/>
    </font>
    <font>
      <b/>
      <sz val="10"/>
      <color rgb="FF595959"/>
      <name val="Arial"/>
      <charset val="1"/>
    </font>
    <font>
      <sz val="10"/>
      <color rgb="FF0000FF"/>
      <name val="Arial"/>
      <charset val="1"/>
    </font>
    <font>
      <b/>
      <sz val="11"/>
      <color rgb="FFFFFFFF"/>
      <name val="Arial"/>
      <charset val="1"/>
    </font>
    <font>
      <u/>
      <sz val="10"/>
      <color rgb="FF0563C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8EEF5"/>
        <bgColor rgb="FFF2F2F2"/>
      </patternFill>
    </fill>
    <fill>
      <patternFill patternType="solid">
        <fgColor rgb="FF1F3A5F"/>
        <bgColor rgb="FF333333"/>
      </patternFill>
    </fill>
    <fill>
      <patternFill patternType="solid">
        <fgColor rgb="FFF2F2F2"/>
        <bgColor rgb="FFE8EEF5"/>
      </patternFill>
    </fill>
    <fill>
      <patternFill patternType="solid">
        <fgColor rgb="FFC0612F"/>
        <bgColor rgb="FF9933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1" fillId="2" borderId="0" xfId="0" applyFont="1" applyFill="1" applyBorder="1"/>
    <xf numFmtId="0" fontId="6" fillId="0" borderId="0" xfId="0" applyFont="1" applyBorder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3" fontId="4" fillId="2" borderId="0" xfId="0" applyNumberFormat="1" applyFont="1" applyFill="1" applyAlignment="1">
      <alignment horizontal="center" vertical="center" wrapText="1"/>
    </xf>
    <xf numFmtId="164" fontId="4" fillId="2" borderId="0" xfId="0" applyNumberFormat="1" applyFont="1" applyFill="1" applyAlignment="1">
      <alignment horizontal="center" vertical="center" wrapText="1"/>
    </xf>
    <xf numFmtId="0" fontId="5" fillId="0" borderId="0" xfId="0" applyFont="1"/>
    <xf numFmtId="0" fontId="7" fillId="3" borderId="0" xfId="0" applyFont="1" applyFill="1" applyAlignment="1">
      <alignment horizontal="center" vertical="center" wrapText="1"/>
    </xf>
    <xf numFmtId="0" fontId="8" fillId="4" borderId="0" xfId="0" applyFont="1" applyFill="1"/>
    <xf numFmtId="0" fontId="6" fillId="4" borderId="0" xfId="0" applyFont="1" applyFill="1"/>
    <xf numFmtId="0" fontId="9" fillId="0" borderId="1" xfId="0" applyFont="1" applyBorder="1"/>
    <xf numFmtId="0" fontId="6" fillId="0" borderId="1" xfId="0" applyFont="1" applyBorder="1" applyAlignment="1">
      <alignment vertical="top" wrapText="1"/>
    </xf>
    <xf numFmtId="0" fontId="6" fillId="0" borderId="1" xfId="0" applyFont="1" applyBorder="1"/>
    <xf numFmtId="165" fontId="6" fillId="0" borderId="1" xfId="0" applyNumberFormat="1" applyFont="1" applyBorder="1" applyAlignment="1">
      <alignment horizontal="left"/>
    </xf>
    <xf numFmtId="0" fontId="10" fillId="0" borderId="1" xfId="0" applyFont="1" applyBorder="1"/>
    <xf numFmtId="0" fontId="9" fillId="0" borderId="0" xfId="0" applyFont="1"/>
    <xf numFmtId="0" fontId="11" fillId="0" borderId="0" xfId="0" applyFont="1"/>
    <xf numFmtId="0" fontId="12" fillId="0" borderId="1" xfId="0" applyFont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14" fillId="0" borderId="0" xfId="0" applyFont="1"/>
    <xf numFmtId="3" fontId="15" fillId="0" borderId="1" xfId="0" applyNumberFormat="1" applyFont="1" applyBorder="1"/>
    <xf numFmtId="3" fontId="6" fillId="0" borderId="1" xfId="0" applyNumberFormat="1" applyFont="1" applyBorder="1"/>
    <xf numFmtId="164" fontId="6" fillId="0" borderId="1" xfId="0" applyNumberFormat="1" applyFont="1" applyBorder="1"/>
    <xf numFmtId="166" fontId="6" fillId="0" borderId="1" xfId="0" applyNumberFormat="1" applyFont="1" applyBorder="1"/>
    <xf numFmtId="2" fontId="6" fillId="0" borderId="1" xfId="0" applyNumberFormat="1" applyFont="1" applyBorder="1"/>
    <xf numFmtId="0" fontId="12" fillId="4" borderId="0" xfId="0" applyFont="1" applyFill="1"/>
    <xf numFmtId="3" fontId="12" fillId="4" borderId="0" xfId="0" applyNumberFormat="1" applyFont="1" applyFill="1"/>
    <xf numFmtId="164" fontId="12" fillId="4" borderId="0" xfId="0" applyNumberFormat="1" applyFont="1" applyFill="1"/>
    <xf numFmtId="166" fontId="12" fillId="4" borderId="0" xfId="0" applyNumberFormat="1" applyFont="1" applyFill="1"/>
    <xf numFmtId="2" fontId="12" fillId="4" borderId="0" xfId="0" applyNumberFormat="1" applyFont="1" applyFill="1"/>
    <xf numFmtId="4" fontId="12" fillId="0" borderId="1" xfId="0" applyNumberFormat="1" applyFont="1" applyBorder="1"/>
    <xf numFmtId="0" fontId="6" fillId="0" borderId="1" xfId="0" applyFont="1" applyBorder="1" applyAlignment="1">
      <alignment horizontal="center"/>
    </xf>
    <xf numFmtId="1" fontId="12" fillId="0" borderId="1" xfId="0" applyNumberFormat="1" applyFont="1" applyBorder="1"/>
    <xf numFmtId="167" fontId="12" fillId="0" borderId="1" xfId="0" applyNumberFormat="1" applyFont="1" applyBorder="1"/>
    <xf numFmtId="168" fontId="12" fillId="0" borderId="1" xfId="0" applyNumberFormat="1" applyFont="1" applyBorder="1"/>
    <xf numFmtId="165" fontId="12" fillId="0" borderId="1" xfId="0" applyNumberFormat="1" applyFont="1" applyBorder="1"/>
    <xf numFmtId="169" fontId="15" fillId="0" borderId="1" xfId="0" applyNumberFormat="1" applyFont="1" applyBorder="1"/>
    <xf numFmtId="0" fontId="16" fillId="5" borderId="0" xfId="0" applyFont="1" applyFill="1"/>
    <xf numFmtId="164" fontId="12" fillId="0" borderId="1" xfId="0" applyNumberFormat="1" applyFont="1" applyBorder="1"/>
    <xf numFmtId="170" fontId="15" fillId="0" borderId="1" xfId="0" applyNumberFormat="1" applyFont="1" applyBorder="1"/>
    <xf numFmtId="4" fontId="6" fillId="0" borderId="1" xfId="0" applyNumberFormat="1" applyFont="1" applyBorder="1"/>
    <xf numFmtId="167" fontId="6" fillId="0" borderId="1" xfId="0" applyNumberFormat="1" applyFont="1" applyBorder="1"/>
    <xf numFmtId="168" fontId="6" fillId="0" borderId="1" xfId="0" applyNumberFormat="1" applyFont="1" applyBorder="1"/>
    <xf numFmtId="171" fontId="12" fillId="0" borderId="1" xfId="0" applyNumberFormat="1" applyFont="1" applyBorder="1"/>
    <xf numFmtId="165" fontId="6" fillId="0" borderId="1" xfId="0" applyNumberFormat="1" applyFont="1" applyBorder="1"/>
    <xf numFmtId="0" fontId="10" fillId="0" borderId="1" xfId="0" applyFont="1" applyBorder="1" applyAlignment="1">
      <alignment horizontal="center"/>
    </xf>
    <xf numFmtId="3" fontId="12" fillId="0" borderId="1" xfId="0" applyNumberFormat="1" applyFont="1" applyBorder="1"/>
    <xf numFmtId="172" fontId="12" fillId="0" borderId="1" xfId="0" applyNumberFormat="1" applyFont="1" applyBorder="1"/>
    <xf numFmtId="0" fontId="1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8EEF5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0612F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chi_square_tests.xlsx" TargetMode="External"/><Relationship Id="rId13" Type="http://schemas.openxmlformats.org/officeDocument/2006/relationships/hyperlink" Target="chi_square_tests.xlsx" TargetMode="External"/><Relationship Id="rId3" Type="http://schemas.openxmlformats.org/officeDocument/2006/relationships/hyperlink" Target="chi_square_tests.xlsx" TargetMode="External"/><Relationship Id="rId7" Type="http://schemas.openxmlformats.org/officeDocument/2006/relationships/hyperlink" Target="chi_square_tests.xlsx" TargetMode="External"/><Relationship Id="rId12" Type="http://schemas.openxmlformats.org/officeDocument/2006/relationships/hyperlink" Target="chi_square_tests.xlsx" TargetMode="External"/><Relationship Id="rId2" Type="http://schemas.openxmlformats.org/officeDocument/2006/relationships/hyperlink" Target="chi_square_tests.xlsx" TargetMode="External"/><Relationship Id="rId16" Type="http://schemas.openxmlformats.org/officeDocument/2006/relationships/hyperlink" Target="chi_square_tests.xlsx" TargetMode="External"/><Relationship Id="rId1" Type="http://schemas.openxmlformats.org/officeDocument/2006/relationships/hyperlink" Target="chi_square_tests.xlsx" TargetMode="External"/><Relationship Id="rId6" Type="http://schemas.openxmlformats.org/officeDocument/2006/relationships/hyperlink" Target="chi_square_tests.xlsx" TargetMode="External"/><Relationship Id="rId11" Type="http://schemas.openxmlformats.org/officeDocument/2006/relationships/hyperlink" Target="chi_square_tests.xlsx" TargetMode="External"/><Relationship Id="rId5" Type="http://schemas.openxmlformats.org/officeDocument/2006/relationships/hyperlink" Target="chi_square_tests.xlsx" TargetMode="External"/><Relationship Id="rId15" Type="http://schemas.openxmlformats.org/officeDocument/2006/relationships/hyperlink" Target="chi_square_tests.xlsx" TargetMode="External"/><Relationship Id="rId10" Type="http://schemas.openxmlformats.org/officeDocument/2006/relationships/hyperlink" Target="chi_square_tests.xlsx" TargetMode="External"/><Relationship Id="rId4" Type="http://schemas.openxmlformats.org/officeDocument/2006/relationships/hyperlink" Target="chi_square_tests.xlsx" TargetMode="External"/><Relationship Id="rId9" Type="http://schemas.openxmlformats.org/officeDocument/2006/relationships/hyperlink" Target="chi_square_tests.xlsx" TargetMode="External"/><Relationship Id="rId14" Type="http://schemas.openxmlformats.org/officeDocument/2006/relationships/hyperlink" Target="chi_square_tests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chi_square_tests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chi_square_tests.xlsx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chi_square_tests.xls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chi_square_tests.xlsx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chi_square_tests.xlsx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chi_square_tests.xlsx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chi_square_tests.xlsx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chi_square_tests.xlsx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chi_square_tests.xlsx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chi_square_tests.xlsx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chi_square_tests.xlsx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chi_square_tests.xlsx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chi_square_tests.xlsx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chi_square_tests.xlsx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chi_square_tests.xlsx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chi_square_tests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2"/>
  <sheetViews>
    <sheetView showGridLines="0" zoomScaleNormal="100" workbookViewId="0">
      <pane ySplit="10" topLeftCell="A11" activePane="bottomLeft" state="frozen"/>
      <selection pane="bottomLeft" activeCell="A21" sqref="A21"/>
    </sheetView>
  </sheetViews>
  <sheetFormatPr defaultColWidth="8.6640625" defaultRowHeight="14.4" x14ac:dyDescent="0.3"/>
  <cols>
    <col min="1" max="1" width="30" customWidth="1"/>
    <col min="2" max="2" width="44" customWidth="1"/>
    <col min="3" max="3" width="34" customWidth="1"/>
    <col min="4" max="4" width="50" customWidth="1"/>
    <col min="5" max="5" width="26" customWidth="1"/>
  </cols>
  <sheetData>
    <row r="1" spans="1:5" ht="21" x14ac:dyDescent="0.4">
      <c r="A1" s="3" t="s">
        <v>0</v>
      </c>
    </row>
    <row r="2" spans="1:5" x14ac:dyDescent="0.3">
      <c r="A2" s="4" t="s">
        <v>1</v>
      </c>
    </row>
    <row r="4" spans="1:5" x14ac:dyDescent="0.3">
      <c r="A4" s="5" t="s">
        <v>2</v>
      </c>
      <c r="B4" s="5" t="s">
        <v>3</v>
      </c>
      <c r="C4" s="5" t="s">
        <v>4</v>
      </c>
    </row>
    <row r="5" spans="1:5" ht="31.5" customHeight="1" x14ac:dyDescent="0.3">
      <c r="A5" s="6">
        <f>'H1.1_Lead_Time'!D13</f>
        <v>110521</v>
      </c>
      <c r="B5" s="6">
        <f>'H1.1_Lead_Time'!C13</f>
        <v>22314</v>
      </c>
      <c r="C5" s="7">
        <f>'H1.1_Lead_Time'!E13</f>
        <v>0.20189828177450439</v>
      </c>
    </row>
    <row r="7" spans="1:5" x14ac:dyDescent="0.3">
      <c r="A7" s="8" t="s">
        <v>5</v>
      </c>
    </row>
    <row r="8" spans="1:5" ht="30" customHeight="1" x14ac:dyDescent="0.3">
      <c r="A8" s="2" t="s">
        <v>6</v>
      </c>
      <c r="B8" s="2"/>
      <c r="C8" s="2"/>
      <c r="D8" s="2"/>
      <c r="E8" s="2"/>
    </row>
    <row r="10" spans="1:5" ht="30" customHeight="1" x14ac:dyDescent="0.3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3">
      <c r="A11" s="10" t="s">
        <v>12</v>
      </c>
      <c r="B11" s="11"/>
      <c r="C11" s="11"/>
      <c r="D11" s="11"/>
      <c r="E11" s="11"/>
    </row>
    <row r="12" spans="1:5" x14ac:dyDescent="0.3">
      <c r="A12" s="12" t="s">
        <v>13</v>
      </c>
      <c r="B12" s="13" t="s">
        <v>14</v>
      </c>
      <c r="C12" s="14" t="s">
        <v>15</v>
      </c>
      <c r="D12" s="15">
        <f>'H1.1_Lead_Time'!B22</f>
        <v>28.355443425288279</v>
      </c>
      <c r="E12" s="16" t="str">
        <f>'H1.1_Lead_Time'!B23</f>
        <v>Confirmed</v>
      </c>
    </row>
    <row r="13" spans="1:5" x14ac:dyDescent="0.3">
      <c r="A13" s="12" t="s">
        <v>16</v>
      </c>
      <c r="B13" s="13" t="s">
        <v>17</v>
      </c>
      <c r="C13" s="14" t="s">
        <v>18</v>
      </c>
      <c r="D13" s="15">
        <f>'H1.2_Weekday'!B21</f>
        <v>1.8767279218215194</v>
      </c>
      <c r="E13" s="16" t="str">
        <f>'H1.2_Weekday'!B22</f>
        <v>Rejected</v>
      </c>
    </row>
    <row r="14" spans="1:5" ht="26.4" x14ac:dyDescent="0.3">
      <c r="A14" s="12" t="s">
        <v>19</v>
      </c>
      <c r="B14" s="13" t="s">
        <v>20</v>
      </c>
      <c r="C14" s="14" t="s">
        <v>21</v>
      </c>
      <c r="D14" s="14" t="str">
        <f>"Top 2 = "&amp;TEXT('H1.3_Concentration'!B17,"0.0%")&amp;" · 1+ days = "&amp;TEXT('H1.3_Concentration'!B18,"0%")&amp;" of no-shows"</f>
        <v>Top 2 = 43% · 1+ days = 92% of no-shows</v>
      </c>
      <c r="E14" s="16" t="str">
        <f>'H1.3_Concentration'!B21</f>
        <v>Rejected</v>
      </c>
    </row>
    <row r="15" spans="1:5" x14ac:dyDescent="0.3">
      <c r="A15" s="10" t="s">
        <v>22</v>
      </c>
      <c r="B15" s="11"/>
      <c r="C15" s="11"/>
      <c r="D15" s="11"/>
      <c r="E15" s="11"/>
    </row>
    <row r="16" spans="1:5" x14ac:dyDescent="0.3">
      <c r="A16" s="12" t="s">
        <v>23</v>
      </c>
      <c r="B16" s="13" t="s">
        <v>24</v>
      </c>
      <c r="C16" s="14" t="s">
        <v>25</v>
      </c>
      <c r="D16" s="15">
        <f>'H2.1_SMS_Raw'!B18</f>
        <v>10.876561124502205</v>
      </c>
      <c r="E16" s="16" t="str">
        <f>'H2.1_SMS_Raw'!B19</f>
        <v>Inconclusive (confounded)</v>
      </c>
    </row>
    <row r="17" spans="1:5" x14ac:dyDescent="0.3">
      <c r="A17" s="12" t="s">
        <v>26</v>
      </c>
      <c r="B17" s="13" t="s">
        <v>27</v>
      </c>
      <c r="C17" s="14" t="s">
        <v>28</v>
      </c>
      <c r="D17" s="14" t="inlineStr">
        <is>
          <t>−3.1 to −7.3 p.p. in groups of 4+ days</t>
        </is>
      </c>
      <c r="E17" s="16" t="str">
        <f>'H2.2_SMS_Controlled'!B20</f>
        <v>Confirmed</v>
      </c>
    </row>
    <row r="18" spans="1:5" x14ac:dyDescent="0.3">
      <c r="A18" s="10" t="s">
        <v>29</v>
      </c>
      <c r="B18" s="11"/>
      <c r="C18" s="11"/>
      <c r="D18" s="11"/>
      <c r="E18" s="11"/>
    </row>
    <row r="19" spans="1:5" x14ac:dyDescent="0.3">
      <c r="A19" s="12" t="s">
        <v>30</v>
      </c>
      <c r="B19" s="13" t="s">
        <v>31</v>
      </c>
      <c r="C19" s="14" t="s">
        <v>18</v>
      </c>
      <c r="D19" s="15">
        <f>'H3.1_Age'!B21</f>
        <v>10.646814607261746</v>
      </c>
      <c r="E19" s="16" t="str">
        <f>'H3.1_Age'!B22</f>
        <v>Confirmed</v>
      </c>
    </row>
    <row r="20" spans="1:5" x14ac:dyDescent="0.3">
      <c r="A20" s="12" t="s">
        <v>32</v>
      </c>
      <c r="B20" s="13" t="s">
        <v>33</v>
      </c>
      <c r="C20" s="14" t="s">
        <v>25</v>
      </c>
      <c r="D20" s="15">
        <f>'H3.1_Gender'!B18</f>
        <v>-0.34773269658648354</v>
      </c>
      <c r="E20" s="16" t="str">
        <f>'H3.1_Gender'!B19</f>
        <v>Rejected</v>
      </c>
    </row>
    <row r="21" spans="1:5" x14ac:dyDescent="0.3">
      <c r="A21" s="50" t="s">
        <v>339</v>
      </c>
      <c r="B21" s="13" t="s">
        <v>338</v>
      </c>
      <c r="C21" s="14" t="s">
        <v>25</v>
      </c>
      <c r="D21" s="15">
        <f>'H3.2_Scholarship'!B18</f>
        <v>3.9329728812055458</v>
      </c>
      <c r="E21" s="16" t="str">
        <f>'H3.2_Scholarship'!B19</f>
        <v>Confirmed (weak)</v>
      </c>
    </row>
    <row r="22" spans="1:5" x14ac:dyDescent="0.3">
      <c r="A22" s="50" t="s">
        <v>34</v>
      </c>
      <c r="B22" s="13" t="s">
        <v>35</v>
      </c>
      <c r="C22" s="14" t="s">
        <v>25</v>
      </c>
      <c r="D22" s="15">
        <f>'H3.3_Hypertension'!B18</f>
        <v>-3.5975003462957762</v>
      </c>
      <c r="E22" s="16" t="str">
        <f>'H3.3_Hypertension'!B19</f>
        <v>Confirmed (weak)</v>
      </c>
    </row>
    <row r="23" spans="1:5" x14ac:dyDescent="0.3">
      <c r="A23" s="12" t="s">
        <v>36</v>
      </c>
      <c r="B23" s="13" t="s">
        <v>37</v>
      </c>
      <c r="C23" s="14" t="s">
        <v>25</v>
      </c>
      <c r="D23" s="15">
        <f>'H3.3_Diabetes'!B18</f>
        <v>-2.3558680139266652</v>
      </c>
      <c r="E23" s="16" t="str">
        <f>'H3.3_Diabetes'!B19</f>
        <v>Rejected</v>
      </c>
    </row>
    <row r="24" spans="1:5" x14ac:dyDescent="0.3">
      <c r="A24" s="12" t="s">
        <v>38</v>
      </c>
      <c r="B24" s="13" t="s">
        <v>39</v>
      </c>
      <c r="C24" s="14" t="s">
        <v>25</v>
      </c>
      <c r="D24" s="15">
        <f>'H3.3_Alcoholism'!B18</f>
        <v>-4.2304780834889755E-2</v>
      </c>
      <c r="E24" s="16" t="str">
        <f>'H3.3_Alcoholism'!B19</f>
        <v>Rejected</v>
      </c>
    </row>
    <row r="25" spans="1:5" x14ac:dyDescent="0.3">
      <c r="A25" s="12" t="s">
        <v>40</v>
      </c>
      <c r="B25" s="13" t="s">
        <v>41</v>
      </c>
      <c r="C25" s="14" t="s">
        <v>25</v>
      </c>
      <c r="D25" s="15">
        <f>'H3.3_Disability'!B18</f>
        <v>-2.1448474336265511</v>
      </c>
      <c r="E25" s="16" t="str">
        <f>'H3.3_Disability'!B19</f>
        <v>Rejected</v>
      </c>
    </row>
    <row r="26" spans="1:5" x14ac:dyDescent="0.3">
      <c r="A26" s="12" t="s">
        <v>42</v>
      </c>
      <c r="B26" s="13" t="s">
        <v>43</v>
      </c>
      <c r="C26" s="14" t="s">
        <v>44</v>
      </c>
      <c r="D26" s="15">
        <f>'H3.4_History'!B19</f>
        <v>8.0254584404821525</v>
      </c>
      <c r="E26" s="16" t="str">
        <f>'H3.4_History'!B20</f>
        <v>Confirmed</v>
      </c>
    </row>
    <row r="27" spans="1:5" x14ac:dyDescent="0.3">
      <c r="A27" s="10" t="s">
        <v>45</v>
      </c>
      <c r="B27" s="11"/>
      <c r="C27" s="11"/>
      <c r="D27" s="11"/>
      <c r="E27" s="11"/>
    </row>
    <row r="28" spans="1:5" x14ac:dyDescent="0.3">
      <c r="A28" s="12" t="s">
        <v>46</v>
      </c>
      <c r="B28" s="13" t="s">
        <v>47</v>
      </c>
      <c r="C28" s="14" t="s">
        <v>48</v>
      </c>
      <c r="D28" s="14" t="str">
        <f>'H4.1_Neighborhoods'!B85&amp;" neighborhoods · "&amp;TEXT('H4.1_Neighborhoods'!B86,"0.0%")&amp;" of appts, "&amp;TEXT('H4.1_Neighborhoods'!B87,"0.0%")&amp;" of no-shows"</f>
        <v>6 neighborhoods · 10% of appts, 13% of no-shows</v>
      </c>
      <c r="E28" s="16" t="str">
        <f>'H4.1_Neighborhoods'!B90</f>
        <v>Confirmed (limited impact)</v>
      </c>
    </row>
    <row r="29" spans="1:5" x14ac:dyDescent="0.3">
      <c r="A29" s="12" t="s">
        <v>49</v>
      </c>
      <c r="B29" s="13" t="s">
        <v>50</v>
      </c>
      <c r="C29" s="14" t="s">
        <v>51</v>
      </c>
      <c r="D29" s="14" t="str">
        <f>TEXT(MIN('H4.2_Neighborhoods_Ctrl'!H7:H12),"+0.0")&amp;" to "&amp;TEXT(MAX('H4.2_Neighborhoods_Ctrl'!H7:H12),"+0.0")&amp;" p.p. in every group"</f>
        <v>+01 to +12 p.p. in every group</v>
      </c>
      <c r="E29" s="16" t="str">
        <f>'H4.2_Neighborhoods_Ctrl'!B20</f>
        <v>Confirmed</v>
      </c>
    </row>
    <row r="31" spans="1:5" x14ac:dyDescent="0.3">
      <c r="A31" s="4" t="s">
        <v>52</v>
      </c>
    </row>
    <row r="32" spans="1:5" x14ac:dyDescent="0.3">
      <c r="A32" s="17" t="s">
        <v>53</v>
      </c>
    </row>
  </sheetData>
  <mergeCells count="1">
    <mergeCell ref="A8:E8"/>
  </mergeCells>
  <hyperlinks>
    <hyperlink ref="A12" r:id="rId1" location="'H1.1_Lead_Time'!A1" xr:uid="{00000000-0004-0000-0000-000000000000}"/>
    <hyperlink ref="A13" r:id="rId2" location="'H1.2_Weekday'!A1" xr:uid="{00000000-0004-0000-0000-000001000000}"/>
    <hyperlink ref="A14" r:id="rId3" location="'H1.3_Concentration'!A1" xr:uid="{00000000-0004-0000-0000-000002000000}"/>
    <hyperlink ref="A16" r:id="rId4" location="'H2.1_SMS_Raw'!A1" xr:uid="{00000000-0004-0000-0000-000003000000}"/>
    <hyperlink ref="A17" r:id="rId5" location="'H2.2_SMS_Controlled'!A1" xr:uid="{00000000-0004-0000-0000-000004000000}"/>
    <hyperlink ref="A19" r:id="rId6" location="'H3.1_Age'!A1" xr:uid="{00000000-0004-0000-0000-000005000000}"/>
    <hyperlink ref="A20" r:id="rId7" location="'H3.1_Gender'!A1" xr:uid="{00000000-0004-0000-0000-000006000000}"/>
    <hyperlink ref="A21" r:id="rId8" location="'H3.2_Scholarship'!A1" xr:uid="{00000000-0004-0000-0000-000007000000}"/>
    <hyperlink ref="A22" r:id="rId9" location="'H3.3_Hypertension'!A1" xr:uid="{00000000-0004-0000-0000-000008000000}"/>
    <hyperlink ref="A23" r:id="rId10" location="'H3.3_Diabetes'!A1" xr:uid="{00000000-0004-0000-0000-000009000000}"/>
    <hyperlink ref="A24" r:id="rId11" location="'H3.3_Alcoholism'!A1" xr:uid="{00000000-0004-0000-0000-00000A000000}"/>
    <hyperlink ref="A25" r:id="rId12" location="'H3.3_Disability'!A1" xr:uid="{00000000-0004-0000-0000-00000B000000}"/>
    <hyperlink ref="A26" r:id="rId13" location="'H3.4_History'!A1" xr:uid="{00000000-0004-0000-0000-00000C000000}"/>
    <hyperlink ref="A28" r:id="rId14" location="'H4.1_Neighborhoods'!A1" xr:uid="{00000000-0004-0000-0000-00000D000000}"/>
    <hyperlink ref="A29" r:id="rId15" location="'H4.2_Neighborhoods_Ctrl'!A1" xr:uid="{00000000-0004-0000-0000-00000E000000}"/>
    <hyperlink ref="A32" r:id="rId16" location="'Method'!A1" xr:uid="{00000000-0004-0000-0000-00000F000000}"/>
  </hyperlink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31"/>
  <sheetViews>
    <sheetView showGridLines="0" topLeftCell="A16" zoomScaleNormal="100" workbookViewId="0"/>
  </sheetViews>
  <sheetFormatPr defaultColWidth="8.6640625" defaultRowHeight="14.4" x14ac:dyDescent="0.3"/>
  <cols>
    <col min="1" max="1" width="34" customWidth="1"/>
    <col min="2" max="2" width="90" customWidth="1"/>
  </cols>
  <sheetData>
    <row r="1" spans="1:3" ht="21" x14ac:dyDescent="0.4">
      <c r="A1" s="3" t="s">
        <v>54</v>
      </c>
      <c r="C1" s="17" t="s">
        <v>55</v>
      </c>
    </row>
    <row r="3" spans="1:3" x14ac:dyDescent="0.3">
      <c r="A3" s="18" t="s">
        <v>56</v>
      </c>
    </row>
    <row r="4" spans="1:3" ht="27.75" customHeight="1" x14ac:dyDescent="0.3">
      <c r="A4" s="19" t="s">
        <v>57</v>
      </c>
      <c r="B4" s="13" t="s">
        <v>58</v>
      </c>
    </row>
    <row r="5" spans="1:3" ht="27.75" customHeight="1" x14ac:dyDescent="0.3">
      <c r="A5" s="19" t="s">
        <v>59</v>
      </c>
      <c r="B5" s="13" t="s">
        <v>60</v>
      </c>
    </row>
    <row r="6" spans="1:3" ht="27.75" customHeight="1" x14ac:dyDescent="0.3">
      <c r="A6" s="19" t="s">
        <v>61</v>
      </c>
      <c r="B6" s="13" t="s">
        <v>62</v>
      </c>
    </row>
    <row r="7" spans="1:3" ht="27.75" customHeight="1" x14ac:dyDescent="0.3">
      <c r="A7" s="19" t="s">
        <v>63</v>
      </c>
      <c r="B7" s="13" t="s">
        <v>64</v>
      </c>
    </row>
    <row r="9" spans="1:3" x14ac:dyDescent="0.3">
      <c r="A9" s="18" t="s">
        <v>65</v>
      </c>
    </row>
    <row r="10" spans="1:3" ht="27.75" customHeight="1" x14ac:dyDescent="0.3">
      <c r="A10" s="19" t="s">
        <v>66</v>
      </c>
      <c r="B10" s="13" t="s">
        <v>67</v>
      </c>
    </row>
    <row r="11" spans="1:3" ht="27.75" customHeight="1" x14ac:dyDescent="0.3">
      <c r="A11" s="19" t="s">
        <v>68</v>
      </c>
      <c r="B11" s="13" t="s">
        <v>69</v>
      </c>
    </row>
    <row r="12" spans="1:3" ht="27.75" customHeight="1" x14ac:dyDescent="0.3">
      <c r="A12" s="19" t="s">
        <v>70</v>
      </c>
      <c r="B12" s="13" t="s">
        <v>71</v>
      </c>
    </row>
    <row r="13" spans="1:3" ht="27.75" customHeight="1" x14ac:dyDescent="0.3">
      <c r="A13" s="19" t="s">
        <v>72</v>
      </c>
      <c r="B13" s="13" t="s">
        <v>73</v>
      </c>
    </row>
    <row r="15" spans="1:3" x14ac:dyDescent="0.3">
      <c r="A15" s="18" t="s">
        <v>74</v>
      </c>
    </row>
    <row r="16" spans="1:3" ht="27.75" customHeight="1" x14ac:dyDescent="0.3">
      <c r="A16" s="19" t="s">
        <v>75</v>
      </c>
      <c r="B16" s="13" t="s">
        <v>76</v>
      </c>
    </row>
    <row r="17" spans="1:2" ht="27.75" customHeight="1" x14ac:dyDescent="0.3">
      <c r="A17" s="19" t="s">
        <v>77</v>
      </c>
      <c r="B17" s="13" t="s">
        <v>78</v>
      </c>
    </row>
    <row r="18" spans="1:2" ht="27.75" customHeight="1" x14ac:dyDescent="0.3">
      <c r="A18" s="19" t="s">
        <v>79</v>
      </c>
      <c r="B18" s="13" t="s">
        <v>80</v>
      </c>
    </row>
    <row r="19" spans="1:2" ht="27.75" customHeight="1" x14ac:dyDescent="0.3">
      <c r="A19" s="19" t="s">
        <v>81</v>
      </c>
      <c r="B19" s="13" t="s">
        <v>82</v>
      </c>
    </row>
    <row r="20" spans="1:2" ht="27.75" customHeight="1" x14ac:dyDescent="0.3">
      <c r="A20" s="19" t="s">
        <v>83</v>
      </c>
      <c r="B20" s="13" t="s">
        <v>84</v>
      </c>
    </row>
    <row r="22" spans="1:2" x14ac:dyDescent="0.3">
      <c r="A22" s="18" t="s">
        <v>85</v>
      </c>
    </row>
    <row r="23" spans="1:2" ht="27.75" customHeight="1" x14ac:dyDescent="0.3">
      <c r="A23" s="19" t="s">
        <v>86</v>
      </c>
      <c r="B23" s="13" t="s">
        <v>87</v>
      </c>
    </row>
    <row r="24" spans="1:2" ht="27.75" customHeight="1" x14ac:dyDescent="0.3">
      <c r="A24" s="19" t="s">
        <v>88</v>
      </c>
      <c r="B24" s="13" t="s">
        <v>89</v>
      </c>
    </row>
    <row r="25" spans="1:2" ht="27.75" customHeight="1" x14ac:dyDescent="0.3">
      <c r="A25" s="19" t="s">
        <v>90</v>
      </c>
      <c r="B25" s="13" t="s">
        <v>91</v>
      </c>
    </row>
    <row r="26" spans="1:2" ht="27.75" customHeight="1" x14ac:dyDescent="0.3">
      <c r="A26" s="19" t="s">
        <v>92</v>
      </c>
      <c r="B26" s="13" t="s">
        <v>93</v>
      </c>
    </row>
    <row r="27" spans="1:2" ht="27.75" customHeight="1" x14ac:dyDescent="0.3">
      <c r="A27" s="19" t="s">
        <v>94</v>
      </c>
      <c r="B27" s="13" t="s">
        <v>95</v>
      </c>
    </row>
    <row r="29" spans="1:2" x14ac:dyDescent="0.3">
      <c r="A29" s="18" t="s">
        <v>96</v>
      </c>
    </row>
    <row r="30" spans="1:2" ht="27.75" customHeight="1" x14ac:dyDescent="0.3">
      <c r="A30" s="20" t="s">
        <v>97</v>
      </c>
      <c r="B30" s="13" t="s">
        <v>98</v>
      </c>
    </row>
    <row r="31" spans="1:2" ht="27.75" customHeight="1" x14ac:dyDescent="0.3">
      <c r="A31" s="19" t="s">
        <v>99</v>
      </c>
      <c r="B31" s="13" t="s">
        <v>100</v>
      </c>
    </row>
  </sheetData>
  <hyperlinks>
    <hyperlink ref="C1" r:id="rId1" location="'Overview'!A1" xr:uid="{00000000-0004-0000-0100-000000000000}"/>
  </hyperlink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26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30" customWidth="1"/>
    <col min="2" max="2" width="12" customWidth="1"/>
    <col min="3" max="3" width="14" customWidth="1"/>
    <col min="4" max="4" width="12" customWidth="1"/>
    <col min="5" max="5" width="14" customWidth="1"/>
    <col min="6" max="6" width="3" customWidth="1"/>
    <col min="7" max="8" width="14" customWidth="1"/>
    <col min="9" max="9" width="3" customWidth="1"/>
    <col min="10" max="11" width="16" customWidth="1"/>
    <col min="12" max="12" width="20" customWidth="1"/>
  </cols>
  <sheetData>
    <row r="1" spans="1:12" ht="21" x14ac:dyDescent="0.4">
      <c r="A1" s="3" t="s">
        <v>101</v>
      </c>
      <c r="L1" s="17" t="s">
        <v>55</v>
      </c>
    </row>
    <row r="2" spans="1:12" x14ac:dyDescent="0.3">
      <c r="A2" s="21" t="s">
        <v>102</v>
      </c>
    </row>
    <row r="3" spans="1:12" x14ac:dyDescent="0.3">
      <c r="A3" s="4" t="s">
        <v>103</v>
      </c>
    </row>
    <row r="5" spans="1:12" x14ac:dyDescent="0.3">
      <c r="A5" s="18" t="s">
        <v>104</v>
      </c>
      <c r="G5" s="18" t="s">
        <v>105</v>
      </c>
      <c r="J5" s="18" t="s">
        <v>106</v>
      </c>
    </row>
    <row r="6" spans="1:12" ht="30" customHeight="1" x14ac:dyDescent="0.3">
      <c r="A6" s="9" t="s">
        <v>107</v>
      </c>
      <c r="B6" s="9" t="s">
        <v>108</v>
      </c>
      <c r="C6" s="9" t="s">
        <v>109</v>
      </c>
      <c r="D6" s="9" t="s">
        <v>110</v>
      </c>
      <c r="E6" s="9" t="s">
        <v>111</v>
      </c>
      <c r="G6" s="9" t="s">
        <v>112</v>
      </c>
      <c r="H6" s="9" t="s">
        <v>113</v>
      </c>
      <c r="J6" s="9" t="s">
        <v>114</v>
      </c>
      <c r="K6" s="9" t="s">
        <v>115</v>
      </c>
    </row>
    <row r="7" spans="1:12" x14ac:dyDescent="0.3">
      <c r="A7" s="14" t="s">
        <v>116</v>
      </c>
      <c r="B7" s="22">
        <v>36770</v>
      </c>
      <c r="C7" s="22">
        <v>1792</v>
      </c>
      <c r="D7" s="23">
        <f t="shared" ref="D7:D12" si="0">B7+C7</f>
        <v>38562</v>
      </c>
      <c r="E7" s="24">
        <f t="shared" ref="E7:E13" si="1">C7/D7</f>
        <v>4.6470618743841084E-2</v>
      </c>
      <c r="G7" s="25">
        <f t="shared" ref="G7:H12" si="2">$D7*B$13/$D$13</f>
        <v>30776.398458211563</v>
      </c>
      <c r="H7" s="25">
        <f t="shared" si="2"/>
        <v>7785.6015417884382</v>
      </c>
      <c r="J7" s="26">
        <f t="shared" ref="J7:K12" si="3">(B7-G7)^2/G7</f>
        <v>1167.2340248163091</v>
      </c>
      <c r="K7" s="26">
        <f t="shared" si="3"/>
        <v>4614.063441201587</v>
      </c>
    </row>
    <row r="8" spans="1:12" x14ac:dyDescent="0.3">
      <c r="A8" s="14" t="s">
        <v>117</v>
      </c>
      <c r="B8" s="22">
        <v>11316</v>
      </c>
      <c r="C8" s="22">
        <v>3359</v>
      </c>
      <c r="D8" s="23">
        <f t="shared" si="0"/>
        <v>14675</v>
      </c>
      <c r="E8" s="24">
        <f t="shared" si="1"/>
        <v>0.22889267461669505</v>
      </c>
      <c r="G8" s="25">
        <f t="shared" si="2"/>
        <v>11712.142714959147</v>
      </c>
      <c r="H8" s="25">
        <f t="shared" si="2"/>
        <v>2962.8572850408518</v>
      </c>
      <c r="J8" s="26">
        <f t="shared" si="3"/>
        <v>13.398833538355802</v>
      </c>
      <c r="K8" s="26">
        <f t="shared" si="3"/>
        <v>52.965443663966823</v>
      </c>
    </row>
    <row r="9" spans="1:12" x14ac:dyDescent="0.3">
      <c r="A9" s="14" t="s">
        <v>118</v>
      </c>
      <c r="B9" s="22">
        <v>13097</v>
      </c>
      <c r="C9" s="22">
        <v>4413</v>
      </c>
      <c r="D9" s="23">
        <f t="shared" si="0"/>
        <v>17510</v>
      </c>
      <c r="E9" s="24">
        <f t="shared" si="1"/>
        <v>0.25202741290691033</v>
      </c>
      <c r="G9" s="25">
        <f t="shared" si="2"/>
        <v>13974.761086128428</v>
      </c>
      <c r="H9" s="25">
        <f t="shared" si="2"/>
        <v>3535.2389138715721</v>
      </c>
      <c r="J9" s="26">
        <f t="shared" si="3"/>
        <v>55.132572183014538</v>
      </c>
      <c r="K9" s="26">
        <f t="shared" si="3"/>
        <v>217.93845991517247</v>
      </c>
    </row>
    <row r="10" spans="1:12" x14ac:dyDescent="0.3">
      <c r="A10" s="14" t="s">
        <v>119</v>
      </c>
      <c r="B10" s="22">
        <v>9362</v>
      </c>
      <c r="C10" s="22">
        <v>4166</v>
      </c>
      <c r="D10" s="23">
        <f t="shared" si="0"/>
        <v>13528</v>
      </c>
      <c r="E10" s="24">
        <f t="shared" si="1"/>
        <v>0.30795387344766412</v>
      </c>
      <c r="G10" s="25">
        <f t="shared" si="2"/>
        <v>10796.720044154505</v>
      </c>
      <c r="H10" s="25">
        <f t="shared" si="2"/>
        <v>2731.2799558454954</v>
      </c>
      <c r="J10" s="26">
        <f t="shared" si="3"/>
        <v>190.65249415382982</v>
      </c>
      <c r="K10" s="26">
        <f t="shared" si="3"/>
        <v>753.64724172388935</v>
      </c>
    </row>
    <row r="11" spans="1:12" x14ac:dyDescent="0.3">
      <c r="A11" s="14" t="s">
        <v>120</v>
      </c>
      <c r="B11" s="22">
        <v>10709</v>
      </c>
      <c r="C11" s="22">
        <v>5159</v>
      </c>
      <c r="D11" s="23">
        <f t="shared" si="0"/>
        <v>15868</v>
      </c>
      <c r="E11" s="24">
        <f t="shared" si="1"/>
        <v>0.32511973783715653</v>
      </c>
      <c r="G11" s="25">
        <f t="shared" si="2"/>
        <v>12664.278064802163</v>
      </c>
      <c r="H11" s="25">
        <f t="shared" si="2"/>
        <v>3203.7219351978356</v>
      </c>
      <c r="J11" s="26">
        <f t="shared" si="3"/>
        <v>301.88158307436981</v>
      </c>
      <c r="K11" s="26">
        <f t="shared" si="3"/>
        <v>1193.334623924037</v>
      </c>
    </row>
    <row r="12" spans="1:12" x14ac:dyDescent="0.3">
      <c r="A12" s="14" t="s">
        <v>121</v>
      </c>
      <c r="B12" s="22">
        <v>6953</v>
      </c>
      <c r="C12" s="22">
        <v>3425</v>
      </c>
      <c r="D12" s="23">
        <f t="shared" si="0"/>
        <v>10378</v>
      </c>
      <c r="E12" s="24">
        <f t="shared" si="1"/>
        <v>0.33002505299672386</v>
      </c>
      <c r="G12" s="25">
        <f t="shared" si="2"/>
        <v>8282.6996317441935</v>
      </c>
      <c r="H12" s="25">
        <f t="shared" si="2"/>
        <v>2095.3003682558065</v>
      </c>
      <c r="J12" s="26">
        <f t="shared" si="3"/>
        <v>213.4691814591751</v>
      </c>
      <c r="K12" s="26">
        <f t="shared" si="3"/>
        <v>843.84135919017024</v>
      </c>
    </row>
    <row r="13" spans="1:12" x14ac:dyDescent="0.3">
      <c r="A13" s="27" t="s">
        <v>110</v>
      </c>
      <c r="B13" s="28">
        <f>SUM(B7:B12)</f>
        <v>88207</v>
      </c>
      <c r="C13" s="28">
        <f>SUM(C7:C12)</f>
        <v>22314</v>
      </c>
      <c r="D13" s="28">
        <f>SUM(D7:D12)</f>
        <v>110521</v>
      </c>
      <c r="E13" s="29">
        <f t="shared" si="1"/>
        <v>0.20189828177450439</v>
      </c>
      <c r="G13" s="30">
        <f>SUM(G7:G12)</f>
        <v>88207</v>
      </c>
      <c r="H13" s="30">
        <f>SUM(H7:H12)</f>
        <v>22314</v>
      </c>
      <c r="J13" s="31">
        <f>SUM(J7:J12)</f>
        <v>1941.7686892250545</v>
      </c>
      <c r="K13" s="31">
        <f>SUM(K7:K12)</f>
        <v>7675.7905696188227</v>
      </c>
    </row>
    <row r="15" spans="1:12" x14ac:dyDescent="0.3">
      <c r="A15" s="18" t="s">
        <v>122</v>
      </c>
    </row>
    <row r="16" spans="1:12" ht="30" customHeight="1" x14ac:dyDescent="0.3">
      <c r="A16" s="9" t="s">
        <v>123</v>
      </c>
      <c r="B16" s="9" t="s">
        <v>124</v>
      </c>
      <c r="C16" s="9" t="s">
        <v>125</v>
      </c>
      <c r="D16" s="9" t="s">
        <v>126</v>
      </c>
    </row>
    <row r="17" spans="1:11" x14ac:dyDescent="0.3">
      <c r="A17" s="14" t="s">
        <v>75</v>
      </c>
      <c r="B17" s="32">
        <f>SUM(J7:K12)</f>
        <v>9617.5592588438758</v>
      </c>
      <c r="C17" s="14" t="s">
        <v>127</v>
      </c>
      <c r="D17" s="33" t="str">
        <f>IF(B17&gt;B19,"Yes","No")</f>
        <v>Yes</v>
      </c>
    </row>
    <row r="18" spans="1:11" x14ac:dyDescent="0.3">
      <c r="A18" s="14" t="s">
        <v>77</v>
      </c>
      <c r="B18" s="34">
        <f>(6-1)*(2-1)</f>
        <v>5</v>
      </c>
      <c r="C18" s="14" t="s">
        <v>128</v>
      </c>
      <c r="D18" s="33" t="s">
        <v>129</v>
      </c>
    </row>
    <row r="19" spans="1:11" x14ac:dyDescent="0.3">
      <c r="A19" s="14" t="s">
        <v>130</v>
      </c>
      <c r="B19" s="32">
        <f>CHIINV(0.05,B18)</f>
        <v>11.070497693516353</v>
      </c>
      <c r="C19" s="14"/>
      <c r="D19" s="33" t="s">
        <v>129</v>
      </c>
    </row>
    <row r="20" spans="1:11" x14ac:dyDescent="0.3">
      <c r="A20" s="14" t="s">
        <v>79</v>
      </c>
      <c r="B20" s="35">
        <f>CHITEST(B7:C12,G7:H12)</f>
        <v>0</v>
      </c>
      <c r="C20" s="14" t="s">
        <v>131</v>
      </c>
      <c r="D20" s="33" t="str">
        <f>IF(B20&lt;0.05,"Yes","No")</f>
        <v>Yes</v>
      </c>
    </row>
    <row r="21" spans="1:11" x14ac:dyDescent="0.3">
      <c r="A21" s="14" t="s">
        <v>81</v>
      </c>
      <c r="B21" s="36">
        <f>SQRT(B17/D13)</f>
        <v>0.29499186022506352</v>
      </c>
      <c r="C21" s="14" t="s">
        <v>132</v>
      </c>
      <c r="D21" s="33" t="s">
        <v>129</v>
      </c>
    </row>
    <row r="22" spans="1:11" x14ac:dyDescent="0.3">
      <c r="A22" s="14" t="s">
        <v>83</v>
      </c>
      <c r="B22" s="37">
        <f>(MAX(E7:E12)-MIN(E7:E12))*100</f>
        <v>28.355443425288279</v>
      </c>
      <c r="C22" s="38">
        <v>5</v>
      </c>
      <c r="D22" s="33" t="str">
        <f>IF(ABS(B22)&gt;=C22,"Yes","No")</f>
        <v>Yes</v>
      </c>
    </row>
    <row r="23" spans="1:11" x14ac:dyDescent="0.3">
      <c r="A23" s="39" t="s">
        <v>11</v>
      </c>
      <c r="B23" s="1" t="str">
        <f>IF(AND(B20&lt;0.05,D22="Yes"),IF(B21&lt;0.05,"Confirmed (weak)","Confirmed"),"Rejected")</f>
        <v>Confirmed</v>
      </c>
      <c r="C23" s="1"/>
      <c r="D23" s="1"/>
    </row>
    <row r="25" spans="1:11" x14ac:dyDescent="0.3">
      <c r="A25" s="18" t="s">
        <v>133</v>
      </c>
    </row>
    <row r="26" spans="1:11" ht="48" customHeight="1" x14ac:dyDescent="0.3">
      <c r="A26" s="2" t="s">
        <v>134</v>
      </c>
      <c r="B26" s="2"/>
      <c r="C26" s="2"/>
      <c r="D26" s="2"/>
      <c r="E26" s="2"/>
      <c r="F26" s="2"/>
      <c r="G26" s="2"/>
      <c r="H26" s="2"/>
      <c r="I26" s="2"/>
      <c r="J26" s="2"/>
      <c r="K26" s="2"/>
    </row>
  </sheetData>
  <mergeCells count="2">
    <mergeCell ref="B23:D23"/>
    <mergeCell ref="A26:K26"/>
  </mergeCells>
  <hyperlinks>
    <hyperlink ref="L1" r:id="rId1" location="'Overview'!A1" xr:uid="{00000000-0004-0000-0200-000000000000}"/>
  </hyperlinks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25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30" customWidth="1"/>
    <col min="2" max="2" width="12" customWidth="1"/>
    <col min="3" max="3" width="14" customWidth="1"/>
    <col min="4" max="4" width="12" customWidth="1"/>
    <col min="5" max="5" width="14" customWidth="1"/>
    <col min="6" max="6" width="3" customWidth="1"/>
    <col min="7" max="8" width="14" customWidth="1"/>
    <col min="9" max="9" width="3" customWidth="1"/>
    <col min="10" max="11" width="16" customWidth="1"/>
    <col min="12" max="12" width="20" customWidth="1"/>
  </cols>
  <sheetData>
    <row r="1" spans="1:12" ht="21" x14ac:dyDescent="0.4">
      <c r="A1" s="3" t="s">
        <v>135</v>
      </c>
      <c r="L1" s="17" t="s">
        <v>55</v>
      </c>
    </row>
    <row r="2" spans="1:12" x14ac:dyDescent="0.3">
      <c r="A2" s="21" t="s">
        <v>136</v>
      </c>
    </row>
    <row r="3" spans="1:12" x14ac:dyDescent="0.3">
      <c r="A3" s="4" t="s">
        <v>103</v>
      </c>
    </row>
    <row r="5" spans="1:12" x14ac:dyDescent="0.3">
      <c r="A5" s="18" t="s">
        <v>104</v>
      </c>
      <c r="G5" s="18" t="s">
        <v>105</v>
      </c>
      <c r="J5" s="18" t="s">
        <v>106</v>
      </c>
    </row>
    <row r="6" spans="1:12" ht="30" customHeight="1" x14ac:dyDescent="0.3">
      <c r="A6" s="9" t="s">
        <v>137</v>
      </c>
      <c r="B6" s="9" t="s">
        <v>108</v>
      </c>
      <c r="C6" s="9" t="s">
        <v>109</v>
      </c>
      <c r="D6" s="9" t="s">
        <v>110</v>
      </c>
      <c r="E6" s="9" t="s">
        <v>111</v>
      </c>
      <c r="G6" s="9" t="s">
        <v>112</v>
      </c>
      <c r="H6" s="9" t="s">
        <v>113</v>
      </c>
      <c r="J6" s="9" t="s">
        <v>114</v>
      </c>
      <c r="K6" s="9" t="s">
        <v>115</v>
      </c>
    </row>
    <row r="7" spans="1:12" x14ac:dyDescent="0.3">
      <c r="A7" s="14" t="s">
        <v>138</v>
      </c>
      <c r="B7" s="22">
        <v>18024</v>
      </c>
      <c r="C7" s="22">
        <v>4689</v>
      </c>
      <c r="D7" s="23">
        <f>B7+C7</f>
        <v>22713</v>
      </c>
      <c r="E7" s="24">
        <f t="shared" ref="E7:E12" si="0">C7/D7</f>
        <v>0.2064456478668604</v>
      </c>
      <c r="G7" s="25">
        <f t="shared" ref="G7:H11" si="1">$D7*B$12/$D$12</f>
        <v>18127.515803479298</v>
      </c>
      <c r="H7" s="25">
        <f t="shared" si="1"/>
        <v>4585.4841965207006</v>
      </c>
      <c r="J7" s="26">
        <f t="shared" ref="J7:K11" si="2">(B7-G7)^2/G7</f>
        <v>0.59111914098610596</v>
      </c>
      <c r="K7" s="26">
        <f t="shared" si="2"/>
        <v>2.3368353505820569</v>
      </c>
    </row>
    <row r="8" spans="1:12" x14ac:dyDescent="0.3">
      <c r="A8" s="14" t="s">
        <v>139</v>
      </c>
      <c r="B8" s="22">
        <v>20488</v>
      </c>
      <c r="C8" s="22">
        <v>5150</v>
      </c>
      <c r="D8" s="23">
        <f>B8+C8</f>
        <v>25638</v>
      </c>
      <c r="E8" s="24">
        <f t="shared" si="0"/>
        <v>0.20087370309696545</v>
      </c>
      <c r="G8" s="25">
        <f t="shared" si="1"/>
        <v>20461.993139153888</v>
      </c>
      <c r="H8" s="25">
        <f t="shared" si="1"/>
        <v>5176.0068608461106</v>
      </c>
      <c r="J8" s="26">
        <f t="shared" si="2"/>
        <v>3.3054297617508444E-2</v>
      </c>
      <c r="K8" s="26">
        <f t="shared" si="2"/>
        <v>0.13067154454242716</v>
      </c>
    </row>
    <row r="9" spans="1:12" x14ac:dyDescent="0.3">
      <c r="A9" s="14" t="s">
        <v>140</v>
      </c>
      <c r="B9" s="22">
        <v>20774</v>
      </c>
      <c r="C9" s="22">
        <v>5092</v>
      </c>
      <c r="D9" s="23">
        <f>B9+C9</f>
        <v>25866</v>
      </c>
      <c r="E9" s="24">
        <f t="shared" si="0"/>
        <v>0.19686074383360397</v>
      </c>
      <c r="G9" s="25">
        <f t="shared" si="1"/>
        <v>20643.962654550061</v>
      </c>
      <c r="H9" s="25">
        <f t="shared" si="1"/>
        <v>5222.0373454499377</v>
      </c>
      <c r="J9" s="26">
        <f t="shared" si="2"/>
        <v>0.81911169355558067</v>
      </c>
      <c r="K9" s="26">
        <f t="shared" si="2"/>
        <v>3.2381444430687925</v>
      </c>
    </row>
    <row r="10" spans="1:12" x14ac:dyDescent="0.3">
      <c r="A10" s="14" t="s">
        <v>141</v>
      </c>
      <c r="B10" s="22">
        <v>13909</v>
      </c>
      <c r="C10" s="22">
        <v>3337</v>
      </c>
      <c r="D10" s="23">
        <f>B10+C10</f>
        <v>17246</v>
      </c>
      <c r="E10" s="24">
        <f t="shared" si="0"/>
        <v>0.19349414356952338</v>
      </c>
      <c r="G10" s="25">
        <f t="shared" si="1"/>
        <v>13764.237993519306</v>
      </c>
      <c r="H10" s="25">
        <f t="shared" si="1"/>
        <v>3481.7620064806938</v>
      </c>
      <c r="J10" s="26">
        <f t="shared" si="2"/>
        <v>1.5224989955988422</v>
      </c>
      <c r="K10" s="26">
        <f t="shared" si="2"/>
        <v>6.0188026870620153</v>
      </c>
    </row>
    <row r="11" spans="1:12" x14ac:dyDescent="0.3">
      <c r="A11" s="14" t="s">
        <v>142</v>
      </c>
      <c r="B11" s="22">
        <v>14982</v>
      </c>
      <c r="C11" s="22">
        <v>4037</v>
      </c>
      <c r="D11" s="23">
        <f>B11+C11</f>
        <v>19019</v>
      </c>
      <c r="E11" s="24">
        <f t="shared" si="0"/>
        <v>0.21226142278773857</v>
      </c>
      <c r="G11" s="25">
        <f t="shared" si="1"/>
        <v>15179.290409297442</v>
      </c>
      <c r="H11" s="25">
        <f t="shared" si="1"/>
        <v>3839.7095907025578</v>
      </c>
      <c r="J11" s="26">
        <f t="shared" si="2"/>
        <v>2.5642506699068957</v>
      </c>
      <c r="K11" s="26">
        <f t="shared" si="2"/>
        <v>10.137096225975357</v>
      </c>
    </row>
    <row r="12" spans="1:12" x14ac:dyDescent="0.3">
      <c r="A12" s="27" t="s">
        <v>110</v>
      </c>
      <c r="B12" s="28">
        <f>SUM(B7:B11)</f>
        <v>88177</v>
      </c>
      <c r="C12" s="28">
        <f>SUM(C7:C11)</f>
        <v>22305</v>
      </c>
      <c r="D12" s="28">
        <f>SUM(D7:D11)</f>
        <v>110482</v>
      </c>
      <c r="E12" s="29">
        <f t="shared" si="0"/>
        <v>0.2018880903676617</v>
      </c>
      <c r="G12" s="30">
        <f>SUM(G7:G11)</f>
        <v>88177</v>
      </c>
      <c r="H12" s="30">
        <f>SUM(H7:H11)</f>
        <v>22305</v>
      </c>
      <c r="J12" s="31">
        <f>SUM(J7:J11)</f>
        <v>5.5300347976649329</v>
      </c>
      <c r="K12" s="31">
        <f>SUM(K7:K11)</f>
        <v>21.861550251230646</v>
      </c>
    </row>
    <row r="14" spans="1:12" x14ac:dyDescent="0.3">
      <c r="A14" s="18" t="s">
        <v>122</v>
      </c>
    </row>
    <row r="15" spans="1:12" ht="30" customHeight="1" x14ac:dyDescent="0.3">
      <c r="A15" s="9" t="s">
        <v>123</v>
      </c>
      <c r="B15" s="9" t="s">
        <v>124</v>
      </c>
      <c r="C15" s="9" t="s">
        <v>125</v>
      </c>
      <c r="D15" s="9" t="s">
        <v>126</v>
      </c>
    </row>
    <row r="16" spans="1:12" x14ac:dyDescent="0.3">
      <c r="A16" s="14" t="s">
        <v>75</v>
      </c>
      <c r="B16" s="32">
        <f>SUM(J7:K11)</f>
        <v>27.391585048895578</v>
      </c>
      <c r="C16" s="14" t="s">
        <v>127</v>
      </c>
      <c r="D16" s="33" t="str">
        <f>IF(B16&gt;B18,"Yes","No")</f>
        <v>Yes</v>
      </c>
    </row>
    <row r="17" spans="1:11" x14ac:dyDescent="0.3">
      <c r="A17" s="14" t="s">
        <v>77</v>
      </c>
      <c r="B17" s="34">
        <f>(5-1)*(2-1)</f>
        <v>4</v>
      </c>
      <c r="C17" s="14" t="s">
        <v>128</v>
      </c>
      <c r="D17" s="33" t="s">
        <v>129</v>
      </c>
    </row>
    <row r="18" spans="1:11" x14ac:dyDescent="0.3">
      <c r="A18" s="14" t="s">
        <v>130</v>
      </c>
      <c r="B18" s="32">
        <f>CHIINV(0.05,B17)</f>
        <v>9.4877290367811575</v>
      </c>
      <c r="C18" s="14"/>
      <c r="D18" s="33" t="s">
        <v>129</v>
      </c>
    </row>
    <row r="19" spans="1:11" x14ac:dyDescent="0.3">
      <c r="A19" s="14" t="s">
        <v>79</v>
      </c>
      <c r="B19" s="35">
        <f>CHITEST(B7:C11,G7:H11)</f>
        <v>1.6564788429080631E-5</v>
      </c>
      <c r="C19" s="14" t="s">
        <v>131</v>
      </c>
      <c r="D19" s="33" t="str">
        <f>IF(B19&lt;0.05,"Yes","No")</f>
        <v>Yes</v>
      </c>
    </row>
    <row r="20" spans="1:11" x14ac:dyDescent="0.3">
      <c r="A20" s="14" t="s">
        <v>81</v>
      </c>
      <c r="B20" s="36">
        <f>SQRT(B16/D12)</f>
        <v>1.5745730658447997E-2</v>
      </c>
      <c r="C20" s="14" t="s">
        <v>132</v>
      </c>
      <c r="D20" s="33" t="s">
        <v>129</v>
      </c>
    </row>
    <row r="21" spans="1:11" x14ac:dyDescent="0.3">
      <c r="A21" s="14" t="s">
        <v>83</v>
      </c>
      <c r="B21" s="37">
        <f>(MAX(E7:E11)-MIN(E7:E11))*100</f>
        <v>1.8767279218215194</v>
      </c>
      <c r="C21" s="38">
        <v>3</v>
      </c>
      <c r="D21" s="33" t="str">
        <f>IF(ABS(B21)&gt;=C21,"Yes","No")</f>
        <v>No</v>
      </c>
    </row>
    <row r="22" spans="1:11" x14ac:dyDescent="0.3">
      <c r="A22" s="39" t="s">
        <v>11</v>
      </c>
      <c r="B22" s="1" t="str">
        <f>IF(AND(B19&lt;0.05,D21="Yes"),IF(B20&lt;0.05,"Confirmed (weak)","Confirmed"),"Rejected")</f>
        <v>Rejected</v>
      </c>
      <c r="C22" s="1"/>
      <c r="D22" s="1"/>
    </row>
    <row r="24" spans="1:11" x14ac:dyDescent="0.3">
      <c r="A24" s="18" t="s">
        <v>133</v>
      </c>
    </row>
    <row r="25" spans="1:11" ht="48" customHeight="1" x14ac:dyDescent="0.3">
      <c r="A25" s="2" t="s">
        <v>143</v>
      </c>
      <c r="B25" s="2"/>
      <c r="C25" s="2"/>
      <c r="D25" s="2"/>
      <c r="E25" s="2"/>
      <c r="F25" s="2"/>
      <c r="G25" s="2"/>
      <c r="H25" s="2"/>
      <c r="I25" s="2"/>
      <c r="J25" s="2"/>
      <c r="K25" s="2"/>
    </row>
  </sheetData>
  <mergeCells count="2">
    <mergeCell ref="B22:D22"/>
    <mergeCell ref="A25:K25"/>
  </mergeCells>
  <hyperlinks>
    <hyperlink ref="L1" r:id="rId1" location="'Overview'!A1" xr:uid="{00000000-0004-0000-0300-000000000000}"/>
  </hyperlink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24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30" customWidth="1"/>
    <col min="2" max="4" width="16" customWidth="1"/>
    <col min="5" max="11" width="3" customWidth="1"/>
    <col min="12" max="12" width="20" customWidth="1"/>
  </cols>
  <sheetData>
    <row r="1" spans="1:12" ht="21" x14ac:dyDescent="0.4">
      <c r="A1" s="3" t="s">
        <v>144</v>
      </c>
      <c r="L1" s="17" t="s">
        <v>55</v>
      </c>
    </row>
    <row r="2" spans="1:12" x14ac:dyDescent="0.3">
      <c r="A2" s="21" t="s">
        <v>145</v>
      </c>
    </row>
    <row r="3" spans="1:12" x14ac:dyDescent="0.3">
      <c r="A3" s="4" t="s">
        <v>146</v>
      </c>
    </row>
    <row r="5" spans="1:12" x14ac:dyDescent="0.3">
      <c r="A5" s="18" t="s">
        <v>147</v>
      </c>
    </row>
    <row r="6" spans="1:12" ht="30" customHeight="1" x14ac:dyDescent="0.3">
      <c r="A6" s="9" t="s">
        <v>107</v>
      </c>
      <c r="B6" s="9" t="s">
        <v>148</v>
      </c>
      <c r="C6" s="9" t="s">
        <v>149</v>
      </c>
      <c r="D6" s="9" t="s">
        <v>150</v>
      </c>
    </row>
    <row r="7" spans="1:12" x14ac:dyDescent="0.3">
      <c r="A7" s="14" t="str">
        <f>'H1.1_Lead_Time'!A7</f>
        <v>Same day</v>
      </c>
      <c r="B7" s="24">
        <f>'H1.1_Lead_Time'!D7/'H1.1_Lead_Time'!D13</f>
        <v>0.34891106667511151</v>
      </c>
      <c r="C7" s="24">
        <f>'H1.1_Lead_Time'!C7/'H1.1_Lead_Time'!C13</f>
        <v>8.0308326611096173E-2</v>
      </c>
      <c r="D7" s="26">
        <f t="shared" ref="D7:D12" si="0">C7/B7</f>
        <v>0.23016847065465901</v>
      </c>
    </row>
    <row r="8" spans="1:12" x14ac:dyDescent="0.3">
      <c r="A8" s="14" t="str">
        <f>'H1.1_Lead_Time'!A8</f>
        <v>1–3 days</v>
      </c>
      <c r="B8" s="24">
        <f>'H1.1_Lead_Time'!D8/'H1.1_Lead_Time'!D13</f>
        <v>0.13278019561893215</v>
      </c>
      <c r="C8" s="24">
        <f>'H1.1_Lead_Time'!C8/'H1.1_Lead_Time'!C13</f>
        <v>0.15053329748140182</v>
      </c>
      <c r="D8" s="26">
        <f t="shared" si="0"/>
        <v>1.1337029349875305</v>
      </c>
    </row>
    <row r="9" spans="1:12" x14ac:dyDescent="0.3">
      <c r="A9" s="14" t="str">
        <f>'H1.1_Lead_Time'!A9</f>
        <v>4–7 days</v>
      </c>
      <c r="B9" s="24">
        <f>'H1.1_Lead_Time'!D9/'H1.1_Lead_Time'!D13</f>
        <v>0.1584314293211245</v>
      </c>
      <c r="C9" s="24">
        <f>'H1.1_Lead_Time'!C9/'H1.1_Lead_Time'!C13</f>
        <v>0.19776821726270502</v>
      </c>
      <c r="D9" s="26">
        <f t="shared" si="0"/>
        <v>1.2482890428378881</v>
      </c>
    </row>
    <row r="10" spans="1:12" x14ac:dyDescent="0.3">
      <c r="A10" s="14" t="str">
        <f>'H1.1_Lead_Time'!A10</f>
        <v>8–15 days</v>
      </c>
      <c r="B10" s="24">
        <f>'H1.1_Lead_Time'!D10/'H1.1_Lead_Time'!D13</f>
        <v>0.12240207743324798</v>
      </c>
      <c r="C10" s="24">
        <f>'H1.1_Lead_Time'!C10/'H1.1_Lead_Time'!C13</f>
        <v>0.18669893340503721</v>
      </c>
      <c r="D10" s="26">
        <f t="shared" si="0"/>
        <v>1.5252921953620726</v>
      </c>
    </row>
    <row r="11" spans="1:12" x14ac:dyDescent="0.3">
      <c r="A11" s="14" t="str">
        <f>'H1.1_Lead_Time'!A11</f>
        <v>16–30 days</v>
      </c>
      <c r="B11" s="24">
        <f>'H1.1_Lead_Time'!D11/'H1.1_Lead_Time'!D13</f>
        <v>0.14357452429854961</v>
      </c>
      <c r="C11" s="24">
        <f>'H1.1_Lead_Time'!C11/'H1.1_Lead_Time'!C13</f>
        <v>0.2312001434077261</v>
      </c>
      <c r="D11" s="26">
        <f t="shared" si="0"/>
        <v>1.6103145355158366</v>
      </c>
    </row>
    <row r="12" spans="1:12" x14ac:dyDescent="0.3">
      <c r="A12" s="14" t="str">
        <f>'H1.1_Lead_Time'!A12</f>
        <v>31+ days</v>
      </c>
      <c r="B12" s="24">
        <f>'H1.1_Lead_Time'!D12/'H1.1_Lead_Time'!D13</f>
        <v>9.3900706653034266E-2</v>
      </c>
      <c r="C12" s="24">
        <f>'H1.1_Lead_Time'!C12/'H1.1_Lead_Time'!C13</f>
        <v>0.15349108183203369</v>
      </c>
      <c r="D12" s="26">
        <f t="shared" si="0"/>
        <v>1.6346105083020037</v>
      </c>
    </row>
    <row r="13" spans="1:12" x14ac:dyDescent="0.3">
      <c r="A13" s="27" t="s">
        <v>110</v>
      </c>
      <c r="B13" s="29">
        <f>SUM(B7:B12)</f>
        <v>1</v>
      </c>
      <c r="C13" s="29">
        <f>SUM(C7:C12)</f>
        <v>1</v>
      </c>
      <c r="D13" s="27"/>
    </row>
    <row r="15" spans="1:12" x14ac:dyDescent="0.3">
      <c r="A15" s="18" t="s">
        <v>122</v>
      </c>
    </row>
    <row r="16" spans="1:12" ht="30" customHeight="1" x14ac:dyDescent="0.3">
      <c r="A16" s="9" t="s">
        <v>123</v>
      </c>
      <c r="B16" s="9" t="s">
        <v>124</v>
      </c>
      <c r="C16" s="9" t="s">
        <v>125</v>
      </c>
      <c r="D16" s="9" t="s">
        <v>126</v>
      </c>
    </row>
    <row r="17" spans="1:11" x14ac:dyDescent="0.3">
      <c r="A17" s="14" t="s">
        <v>151</v>
      </c>
      <c r="B17" s="40">
        <f>LARGE(C7:C12,1)+LARGE(C7:C12,2)</f>
        <v>0.42896836067043109</v>
      </c>
      <c r="C17" s="41">
        <v>0.5</v>
      </c>
      <c r="D17" s="33" t="str">
        <f>IF(B17&gt;C17,"Yes","No")</f>
        <v>No</v>
      </c>
    </row>
    <row r="18" spans="1:11" x14ac:dyDescent="0.3">
      <c r="A18" s="14" t="s">
        <v>152</v>
      </c>
      <c r="B18" s="40">
        <f>1-C7</f>
        <v>0.91969167338890379</v>
      </c>
      <c r="C18" s="14"/>
      <c r="D18" s="33" t="s">
        <v>129</v>
      </c>
    </row>
    <row r="19" spans="1:11" x14ac:dyDescent="0.3">
      <c r="A19" s="14" t="s">
        <v>153</v>
      </c>
      <c r="B19" s="40">
        <f>1-B7</f>
        <v>0.65108893332488849</v>
      </c>
      <c r="C19" s="14"/>
      <c r="D19" s="33" t="s">
        <v>129</v>
      </c>
    </row>
    <row r="21" spans="1:11" x14ac:dyDescent="0.3">
      <c r="A21" s="39" t="s">
        <v>11</v>
      </c>
      <c r="B21" s="1" t="str">
        <f>IF(D17="Yes","Confirmed","Rejected")</f>
        <v>Rejected</v>
      </c>
      <c r="C21" s="1"/>
      <c r="D21" s="1"/>
    </row>
    <row r="23" spans="1:11" x14ac:dyDescent="0.3">
      <c r="A23" s="18" t="s">
        <v>133</v>
      </c>
    </row>
    <row r="24" spans="1:11" ht="48" customHeight="1" x14ac:dyDescent="0.3">
      <c r="A24" s="2" t="s">
        <v>154</v>
      </c>
      <c r="B24" s="2"/>
      <c r="C24" s="2"/>
      <c r="D24" s="2"/>
      <c r="E24" s="2"/>
      <c r="F24" s="2"/>
      <c r="G24" s="2"/>
      <c r="H24" s="2"/>
      <c r="I24" s="2"/>
      <c r="J24" s="2"/>
      <c r="K24" s="2"/>
    </row>
  </sheetData>
  <mergeCells count="2">
    <mergeCell ref="B21:D21"/>
    <mergeCell ref="A24:K24"/>
  </mergeCells>
  <hyperlinks>
    <hyperlink ref="L1" r:id="rId1" location="'Overview'!A1" xr:uid="{00000000-0004-0000-0400-000000000000}"/>
  </hyperlinks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22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30" customWidth="1"/>
    <col min="2" max="2" width="12" customWidth="1"/>
    <col min="3" max="3" width="14" customWidth="1"/>
    <col min="4" max="4" width="12" customWidth="1"/>
    <col min="5" max="5" width="14" customWidth="1"/>
    <col min="6" max="6" width="3" customWidth="1"/>
    <col min="7" max="8" width="14" customWidth="1"/>
    <col min="9" max="9" width="3" customWidth="1"/>
    <col min="10" max="11" width="16" customWidth="1"/>
    <col min="12" max="12" width="20" customWidth="1"/>
  </cols>
  <sheetData>
    <row r="1" spans="1:12" ht="21" x14ac:dyDescent="0.4">
      <c r="A1" s="3" t="s">
        <v>155</v>
      </c>
      <c r="L1" s="17" t="s">
        <v>55</v>
      </c>
    </row>
    <row r="2" spans="1:12" x14ac:dyDescent="0.3">
      <c r="A2" s="21" t="s">
        <v>156</v>
      </c>
    </row>
    <row r="3" spans="1:12" x14ac:dyDescent="0.3">
      <c r="A3" s="4" t="s">
        <v>103</v>
      </c>
    </row>
    <row r="5" spans="1:12" x14ac:dyDescent="0.3">
      <c r="A5" s="18" t="s">
        <v>104</v>
      </c>
      <c r="G5" s="18" t="s">
        <v>105</v>
      </c>
      <c r="J5" s="18" t="s">
        <v>106</v>
      </c>
    </row>
    <row r="6" spans="1:12" ht="30" customHeight="1" x14ac:dyDescent="0.3">
      <c r="A6" s="9" t="s">
        <v>157</v>
      </c>
      <c r="B6" s="9" t="s">
        <v>108</v>
      </c>
      <c r="C6" s="9" t="s">
        <v>109</v>
      </c>
      <c r="D6" s="9" t="s">
        <v>110</v>
      </c>
      <c r="E6" s="9" t="s">
        <v>111</v>
      </c>
      <c r="G6" s="9" t="s">
        <v>112</v>
      </c>
      <c r="H6" s="9" t="s">
        <v>113</v>
      </c>
      <c r="J6" s="9" t="s">
        <v>114</v>
      </c>
      <c r="K6" s="9" t="s">
        <v>115</v>
      </c>
    </row>
    <row r="7" spans="1:12" x14ac:dyDescent="0.3">
      <c r="A7" s="14" t="s">
        <v>158</v>
      </c>
      <c r="B7" s="22">
        <v>62509</v>
      </c>
      <c r="C7" s="22">
        <v>12530</v>
      </c>
      <c r="D7" s="23">
        <f>B7+C7</f>
        <v>75039</v>
      </c>
      <c r="E7" s="24">
        <f>C7/D7</f>
        <v>0.16697983715134795</v>
      </c>
      <c r="G7" s="25">
        <f>$D7*B$9/$D$9</f>
        <v>59888.754833922962</v>
      </c>
      <c r="H7" s="25">
        <f>$D7*C$9/$D$9</f>
        <v>15150.245166077035</v>
      </c>
      <c r="J7" s="26">
        <f>(B7-G7)^2/G7</f>
        <v>114.640632442422</v>
      </c>
      <c r="K7" s="26">
        <f>(C7-H7)^2/H7</f>
        <v>453.17317674324147</v>
      </c>
    </row>
    <row r="8" spans="1:12" x14ac:dyDescent="0.3">
      <c r="A8" s="14" t="s">
        <v>159</v>
      </c>
      <c r="B8" s="22">
        <v>25698</v>
      </c>
      <c r="C8" s="22">
        <v>9784</v>
      </c>
      <c r="D8" s="23">
        <f>B8+C8</f>
        <v>35482</v>
      </c>
      <c r="E8" s="24">
        <f>C8/D8</f>
        <v>0.27574544839637</v>
      </c>
      <c r="G8" s="25">
        <f>$D8*B$9/$D$9</f>
        <v>28318.245166077035</v>
      </c>
      <c r="H8" s="25">
        <f>$D8*C$9/$D$9</f>
        <v>7163.7548339229652</v>
      </c>
      <c r="J8" s="26">
        <f>(B8-G8)^2/G8</f>
        <v>242.4473935473446</v>
      </c>
      <c r="K8" s="26">
        <f>(C8-H8)^2/H8</f>
        <v>958.39191729992933</v>
      </c>
    </row>
    <row r="9" spans="1:12" x14ac:dyDescent="0.3">
      <c r="A9" s="27" t="s">
        <v>110</v>
      </c>
      <c r="B9" s="28">
        <f>SUM(B7:B8)</f>
        <v>88207</v>
      </c>
      <c r="C9" s="28">
        <f>SUM(C7:C8)</f>
        <v>22314</v>
      </c>
      <c r="D9" s="28">
        <f>SUM(D7:D8)</f>
        <v>110521</v>
      </c>
      <c r="E9" s="29">
        <f>C9/D9</f>
        <v>0.20189828177450439</v>
      </c>
      <c r="G9" s="30">
        <f>SUM(G7:G8)</f>
        <v>88207</v>
      </c>
      <c r="H9" s="30">
        <f>SUM(H7:H8)</f>
        <v>22314</v>
      </c>
      <c r="J9" s="31">
        <f>SUM(J7:J8)</f>
        <v>357.08802598976661</v>
      </c>
      <c r="K9" s="31">
        <f>SUM(K7:K8)</f>
        <v>1411.5650940431708</v>
      </c>
    </row>
    <row r="11" spans="1:12" x14ac:dyDescent="0.3">
      <c r="A11" s="18" t="s">
        <v>122</v>
      </c>
    </row>
    <row r="12" spans="1:12" ht="30" customHeight="1" x14ac:dyDescent="0.3">
      <c r="A12" s="9" t="s">
        <v>123</v>
      </c>
      <c r="B12" s="9" t="s">
        <v>124</v>
      </c>
      <c r="C12" s="9" t="s">
        <v>125</v>
      </c>
      <c r="D12" s="9" t="s">
        <v>126</v>
      </c>
    </row>
    <row r="13" spans="1:12" x14ac:dyDescent="0.3">
      <c r="A13" s="14" t="s">
        <v>75</v>
      </c>
      <c r="B13" s="32">
        <f>SUM(J7:K8)</f>
        <v>1768.6531200329373</v>
      </c>
      <c r="C13" s="14" t="s">
        <v>127</v>
      </c>
      <c r="D13" s="33" t="str">
        <f>IF(B13&gt;B15,"Yes","No")</f>
        <v>Yes</v>
      </c>
    </row>
    <row r="14" spans="1:12" x14ac:dyDescent="0.3">
      <c r="A14" s="14" t="s">
        <v>77</v>
      </c>
      <c r="B14" s="34">
        <f>(2-1)*(2-1)</f>
        <v>1</v>
      </c>
      <c r="C14" s="14" t="s">
        <v>128</v>
      </c>
      <c r="D14" s="33" t="s">
        <v>129</v>
      </c>
    </row>
    <row r="15" spans="1:12" x14ac:dyDescent="0.3">
      <c r="A15" s="14" t="s">
        <v>130</v>
      </c>
      <c r="B15" s="32">
        <f>CHIINV(0.05,B14)</f>
        <v>3.8414588206941236</v>
      </c>
      <c r="C15" s="14"/>
      <c r="D15" s="33" t="s">
        <v>129</v>
      </c>
    </row>
    <row r="16" spans="1:12" x14ac:dyDescent="0.3">
      <c r="A16" s="14" t="s">
        <v>79</v>
      </c>
      <c r="B16" s="35">
        <f>CHITEST(B7:C8,G7:H8)</f>
        <v>0</v>
      </c>
      <c r="C16" s="14" t="s">
        <v>131</v>
      </c>
      <c r="D16" s="33" t="str">
        <f>IF(B16&lt;0.05,"Yes","No")</f>
        <v>Yes</v>
      </c>
    </row>
    <row r="17" spans="1:11" x14ac:dyDescent="0.3">
      <c r="A17" s="14" t="s">
        <v>81</v>
      </c>
      <c r="B17" s="36">
        <f>SQRT(B13/D9)</f>
        <v>0.12650244787849355</v>
      </c>
      <c r="C17" s="14" t="s">
        <v>132</v>
      </c>
      <c r="D17" s="33" t="s">
        <v>129</v>
      </c>
    </row>
    <row r="18" spans="1:11" x14ac:dyDescent="0.3">
      <c r="A18" s="14" t="s">
        <v>83</v>
      </c>
      <c r="B18" s="37">
        <f>(E8-E7)*100</f>
        <v>10.876561124502205</v>
      </c>
      <c r="C18" s="38">
        <v>3</v>
      </c>
      <c r="D18" s="33" t="str">
        <f>IF(ABS(B18)&gt;=C18,"Yes","No")</f>
        <v>Yes</v>
      </c>
    </row>
    <row r="19" spans="1:11" x14ac:dyDescent="0.3">
      <c r="A19" s="39" t="s">
        <v>11</v>
      </c>
      <c r="B19" s="1" t="s">
        <v>160</v>
      </c>
      <c r="C19" s="1"/>
      <c r="D19" s="1"/>
    </row>
    <row r="21" spans="1:11" x14ac:dyDescent="0.3">
      <c r="A21" s="18" t="s">
        <v>133</v>
      </c>
    </row>
    <row r="22" spans="1:11" ht="48" customHeight="1" x14ac:dyDescent="0.3">
      <c r="A22" s="2" t="s">
        <v>161</v>
      </c>
      <c r="B22" s="2"/>
      <c r="C22" s="2"/>
      <c r="D22" s="2"/>
      <c r="E22" s="2"/>
      <c r="F22" s="2"/>
      <c r="G22" s="2"/>
      <c r="H22" s="2"/>
      <c r="I22" s="2"/>
      <c r="J22" s="2"/>
      <c r="K22" s="2"/>
    </row>
  </sheetData>
  <mergeCells count="2">
    <mergeCell ref="B19:D19"/>
    <mergeCell ref="A22:K22"/>
  </mergeCells>
  <hyperlinks>
    <hyperlink ref="L1" r:id="rId1" location="'Overview'!A1" xr:uid="{00000000-0004-0000-0500-000000000000}"/>
  </hyperlinks>
  <pageMargins left="0.75" right="0.75" top="1" bottom="1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23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16" customWidth="1"/>
    <col min="2" max="5" width="11" customWidth="1"/>
    <col min="6" max="7" width="13" customWidth="1"/>
    <col min="8" max="8" width="14" customWidth="1"/>
    <col min="9" max="9" width="11" customWidth="1"/>
    <col min="10" max="10" width="12" customWidth="1"/>
    <col min="11" max="11" width="11" customWidth="1"/>
    <col min="12" max="12" width="20" customWidth="1"/>
  </cols>
  <sheetData>
    <row r="1" spans="1:12" ht="21" x14ac:dyDescent="0.4">
      <c r="A1" s="3" t="s">
        <v>162</v>
      </c>
      <c r="L1" s="17" t="s">
        <v>55</v>
      </c>
    </row>
    <row r="2" spans="1:12" x14ac:dyDescent="0.3">
      <c r="A2" s="21" t="s">
        <v>163</v>
      </c>
    </row>
    <row r="3" spans="1:12" x14ac:dyDescent="0.3">
      <c r="A3" s="4" t="s">
        <v>164</v>
      </c>
    </row>
    <row r="5" spans="1:12" x14ac:dyDescent="0.3">
      <c r="A5" s="18" t="s">
        <v>165</v>
      </c>
    </row>
    <row r="6" spans="1:12" ht="30" customHeight="1" x14ac:dyDescent="0.3">
      <c r="A6" s="9" t="s">
        <v>107</v>
      </c>
      <c r="B6" s="9" t="s">
        <v>166</v>
      </c>
      <c r="C6" s="9" t="s">
        <v>167</v>
      </c>
      <c r="D6" s="9" t="s">
        <v>168</v>
      </c>
      <c r="E6" s="9" t="s">
        <v>169</v>
      </c>
      <c r="F6" s="9" t="s">
        <v>170</v>
      </c>
      <c r="G6" s="9" t="s">
        <v>171</v>
      </c>
      <c r="H6" s="9" t="s">
        <v>172</v>
      </c>
      <c r="I6" s="9" t="s">
        <v>173</v>
      </c>
      <c r="J6" s="9" t="s">
        <v>79</v>
      </c>
      <c r="K6" s="9" t="s">
        <v>81</v>
      </c>
    </row>
    <row r="7" spans="1:12" x14ac:dyDescent="0.3">
      <c r="A7" s="14" t="s">
        <v>116</v>
      </c>
      <c r="B7" s="22">
        <v>36770</v>
      </c>
      <c r="C7" s="22">
        <v>1792</v>
      </c>
      <c r="D7" s="22">
        <v>0</v>
      </c>
      <c r="E7" s="22">
        <v>0</v>
      </c>
      <c r="F7" s="24">
        <f t="shared" ref="F7:F12" si="0">C7/(B7+C7)</f>
        <v>4.6470618743841084E-2</v>
      </c>
      <c r="G7" s="24" t="str">
        <f t="shared" ref="G7:G12" si="1">IF(D7+E7=0,"no SMS",E7/(D7+E7))</f>
        <v>no SMS</v>
      </c>
      <c r="H7" s="37" t="str">
        <f t="shared" ref="H7:H12" si="2">IF(D7+E7=0,"—",(G7-F7)*100)</f>
        <v>—</v>
      </c>
      <c r="I7" s="42" t="str">
        <f t="shared" ref="I7:I12" si="3">IF(D7+E7=0,"—",(B7+C7+D7+E7)*(B7*E7-C7*D7)^2/((B7+C7)*(D7+E7)*(B7+D7)*(C7+E7)))</f>
        <v>—</v>
      </c>
      <c r="J7" s="43" t="str">
        <f t="shared" ref="J7:J12" si="4">IF(D7+E7=0,"—",CHIDIST(I7,1))</f>
        <v>—</v>
      </c>
      <c r="K7" s="44" t="str">
        <f t="shared" ref="K7:K12" si="5">IF(D7+E7=0,"—",SQRT(I7/(B7+C7+D7+E7)))</f>
        <v>—</v>
      </c>
    </row>
    <row r="8" spans="1:12" x14ac:dyDescent="0.3">
      <c r="A8" s="14" t="s">
        <v>117</v>
      </c>
      <c r="B8" s="22">
        <v>10603</v>
      </c>
      <c r="C8" s="22">
        <v>3166</v>
      </c>
      <c r="D8" s="22">
        <v>713</v>
      </c>
      <c r="E8" s="22">
        <v>193</v>
      </c>
      <c r="F8" s="24">
        <f t="shared" si="0"/>
        <v>0.22993681458348464</v>
      </c>
      <c r="G8" s="24">
        <f t="shared" si="1"/>
        <v>0.21302428256070641</v>
      </c>
      <c r="H8" s="37">
        <f t="shared" si="2"/>
        <v>-1.6912532022778231</v>
      </c>
      <c r="I8" s="42">
        <f t="shared" si="3"/>
        <v>1.3775996657412102</v>
      </c>
      <c r="J8" s="43">
        <f t="shared" si="4"/>
        <v>0.240510435043713</v>
      </c>
      <c r="K8" s="44">
        <f t="shared" si="5"/>
        <v>9.6888550658281707E-3</v>
      </c>
    </row>
    <row r="9" spans="1:12" x14ac:dyDescent="0.3">
      <c r="A9" s="14" t="s">
        <v>118</v>
      </c>
      <c r="B9" s="22">
        <v>5006</v>
      </c>
      <c r="C9" s="22">
        <v>1862</v>
      </c>
      <c r="D9" s="22">
        <v>8091</v>
      </c>
      <c r="E9" s="22">
        <v>2551</v>
      </c>
      <c r="F9" s="24">
        <f t="shared" si="0"/>
        <v>0.27111240535818287</v>
      </c>
      <c r="G9" s="24">
        <f t="shared" si="1"/>
        <v>0.23971058071791015</v>
      </c>
      <c r="H9" s="37">
        <f t="shared" si="2"/>
        <v>-3.140182464027272</v>
      </c>
      <c r="I9" s="42">
        <f t="shared" si="3"/>
        <v>21.834522572688815</v>
      </c>
      <c r="J9" s="43">
        <f t="shared" si="4"/>
        <v>2.9720427117658098E-6</v>
      </c>
      <c r="K9" s="44">
        <f t="shared" si="5"/>
        <v>3.5312525360367567E-2</v>
      </c>
    </row>
    <row r="10" spans="1:12" x14ac:dyDescent="0.3">
      <c r="A10" s="14" t="s">
        <v>119</v>
      </c>
      <c r="B10" s="22">
        <v>3690</v>
      </c>
      <c r="C10" s="22">
        <v>1911</v>
      </c>
      <c r="D10" s="22">
        <v>5672</v>
      </c>
      <c r="E10" s="22">
        <v>2255</v>
      </c>
      <c r="F10" s="24">
        <f t="shared" si="0"/>
        <v>0.34118907337975363</v>
      </c>
      <c r="G10" s="24">
        <f t="shared" si="1"/>
        <v>0.28447079601362435</v>
      </c>
      <c r="H10" s="37">
        <f t="shared" si="2"/>
        <v>-5.6718277366129275</v>
      </c>
      <c r="I10" s="42">
        <f t="shared" si="3"/>
        <v>49.541161814331836</v>
      </c>
      <c r="J10" s="43">
        <f t="shared" si="4"/>
        <v>1.9425300407993604E-12</v>
      </c>
      <c r="K10" s="44">
        <f t="shared" si="5"/>
        <v>6.0515454071055831E-2</v>
      </c>
    </row>
    <row r="11" spans="1:12" x14ac:dyDescent="0.3">
      <c r="A11" s="14" t="s">
        <v>120</v>
      </c>
      <c r="B11" s="22">
        <v>3961</v>
      </c>
      <c r="C11" s="22">
        <v>2310</v>
      </c>
      <c r="D11" s="22">
        <v>6748</v>
      </c>
      <c r="E11" s="22">
        <v>2849</v>
      </c>
      <c r="F11" s="24">
        <f t="shared" si="0"/>
        <v>0.36836230266305214</v>
      </c>
      <c r="G11" s="24">
        <f t="shared" si="1"/>
        <v>0.29686360320933625</v>
      </c>
      <c r="H11" s="37">
        <f t="shared" si="2"/>
        <v>-7.1498699453715897</v>
      </c>
      <c r="I11" s="42">
        <f t="shared" si="3"/>
        <v>88.364194971595353</v>
      </c>
      <c r="J11" s="43">
        <f t="shared" si="4"/>
        <v>5.4447481366734777E-21</v>
      </c>
      <c r="K11" s="44">
        <f t="shared" si="5"/>
        <v>7.4623749528367353E-2</v>
      </c>
    </row>
    <row r="12" spans="1:12" x14ac:dyDescent="0.3">
      <c r="A12" s="14" t="s">
        <v>121</v>
      </c>
      <c r="B12" s="22">
        <v>2479</v>
      </c>
      <c r="C12" s="22">
        <v>1489</v>
      </c>
      <c r="D12" s="22">
        <v>4474</v>
      </c>
      <c r="E12" s="22">
        <v>1936</v>
      </c>
      <c r="F12" s="24">
        <f t="shared" si="0"/>
        <v>0.37525201612903225</v>
      </c>
      <c r="G12" s="24">
        <f t="shared" si="1"/>
        <v>0.30202808112324492</v>
      </c>
      <c r="H12" s="37">
        <f t="shared" si="2"/>
        <v>-7.3223935005787331</v>
      </c>
      <c r="I12" s="42">
        <f t="shared" si="3"/>
        <v>59.431498668594827</v>
      </c>
      <c r="J12" s="43">
        <f t="shared" si="4"/>
        <v>1.2662598082746421E-14</v>
      </c>
      <c r="K12" s="44">
        <f t="shared" si="5"/>
        <v>7.5674839366990237E-2</v>
      </c>
    </row>
    <row r="14" spans="1:12" x14ac:dyDescent="0.3">
      <c r="A14" s="18" t="s">
        <v>122</v>
      </c>
    </row>
    <row r="15" spans="1:12" ht="30" customHeight="1" x14ac:dyDescent="0.3">
      <c r="A15" s="9" t="s">
        <v>123</v>
      </c>
      <c r="B15" s="9" t="s">
        <v>124</v>
      </c>
      <c r="C15" s="9" t="s">
        <v>125</v>
      </c>
      <c r="D15" s="9" t="s">
        <v>126</v>
      </c>
    </row>
    <row r="16" spans="1:12" x14ac:dyDescent="0.3">
      <c r="A16" s="14" t="s">
        <v>174</v>
      </c>
      <c r="B16" s="45">
        <f>COUNTIF(H8:H12,"&lt;0")</f>
        <v>5</v>
      </c>
      <c r="C16" s="14" t="s">
        <v>175</v>
      </c>
      <c r="D16" s="33" t="str">
        <f>IF(B16&gt;=3,"Yes","No")</f>
        <v>Yes</v>
      </c>
    </row>
    <row r="17" spans="1:11" x14ac:dyDescent="0.3">
      <c r="A17" s="14" t="s">
        <v>176</v>
      </c>
      <c r="B17" s="45">
        <f>SUMPRODUCT((J8:J12&lt;0.05)*(H8:H12&lt;=-C17))</f>
        <v>4</v>
      </c>
      <c r="C17" s="38">
        <v>3</v>
      </c>
      <c r="D17" s="33" t="str">
        <f>IF(B17&gt;=3,"Yes","No")</f>
        <v>Yes</v>
      </c>
    </row>
    <row r="18" spans="1:11" x14ac:dyDescent="0.3">
      <c r="A18" s="14" t="s">
        <v>177</v>
      </c>
      <c r="B18" s="37">
        <f>MIN(H8:H12)</f>
        <v>-7.3223935005787331</v>
      </c>
      <c r="C18" s="14"/>
      <c r="D18" s="33" t="s">
        <v>129</v>
      </c>
    </row>
    <row r="20" spans="1:11" x14ac:dyDescent="0.3">
      <c r="A20" s="39" t="s">
        <v>11</v>
      </c>
      <c r="B20" s="1" t="str">
        <f>IF(AND(D16="Yes",D17="Yes"),"Confirmed","Rejected")</f>
        <v>Confirmed</v>
      </c>
      <c r="C20" s="1"/>
      <c r="D20" s="1"/>
    </row>
    <row r="22" spans="1:11" x14ac:dyDescent="0.3">
      <c r="A22" s="18" t="s">
        <v>133</v>
      </c>
    </row>
    <row r="23" spans="1:11" ht="48" customHeight="1" x14ac:dyDescent="0.3">
      <c r="A23" s="2" t="s">
        <v>178</v>
      </c>
      <c r="B23" s="2"/>
      <c r="C23" s="2"/>
      <c r="D23" s="2"/>
      <c r="E23" s="2"/>
      <c r="F23" s="2"/>
      <c r="G23" s="2"/>
      <c r="H23" s="2"/>
      <c r="I23" s="2"/>
      <c r="J23" s="2"/>
      <c r="K23" s="2"/>
    </row>
  </sheetData>
  <mergeCells count="2">
    <mergeCell ref="B20:D20"/>
    <mergeCell ref="A23:K23"/>
  </mergeCells>
  <hyperlinks>
    <hyperlink ref="L1" r:id="rId1" location="'Overview'!A1" xr:uid="{00000000-0004-0000-0600-000000000000}"/>
  </hyperlinks>
  <pageMargins left="0.75" right="0.75" top="1" bottom="1" header="0.511811023622047" footer="0.511811023622047"/>
  <pageSetup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25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30" customWidth="1"/>
    <col min="2" max="2" width="12" customWidth="1"/>
    <col min="3" max="3" width="14" customWidth="1"/>
    <col min="4" max="4" width="12" customWidth="1"/>
    <col min="5" max="5" width="14" customWidth="1"/>
    <col min="6" max="6" width="3" customWidth="1"/>
    <col min="7" max="8" width="14" customWidth="1"/>
    <col min="9" max="9" width="3" customWidth="1"/>
    <col min="10" max="11" width="16" customWidth="1"/>
    <col min="12" max="12" width="20" customWidth="1"/>
  </cols>
  <sheetData>
    <row r="1" spans="1:12" ht="21" x14ac:dyDescent="0.4">
      <c r="A1" s="3" t="s">
        <v>179</v>
      </c>
      <c r="L1" s="17" t="s">
        <v>55</v>
      </c>
    </row>
    <row r="2" spans="1:12" x14ac:dyDescent="0.3">
      <c r="A2" s="21" t="s">
        <v>180</v>
      </c>
    </row>
    <row r="3" spans="1:12" x14ac:dyDescent="0.3">
      <c r="A3" s="4" t="s">
        <v>103</v>
      </c>
    </row>
    <row r="5" spans="1:12" x14ac:dyDescent="0.3">
      <c r="A5" s="18" t="s">
        <v>104</v>
      </c>
      <c r="G5" s="18" t="s">
        <v>105</v>
      </c>
      <c r="J5" s="18" t="s">
        <v>106</v>
      </c>
    </row>
    <row r="6" spans="1:12" ht="30" customHeight="1" x14ac:dyDescent="0.3">
      <c r="A6" s="9" t="s">
        <v>181</v>
      </c>
      <c r="B6" s="9" t="s">
        <v>108</v>
      </c>
      <c r="C6" s="9" t="s">
        <v>109</v>
      </c>
      <c r="D6" s="9" t="s">
        <v>110</v>
      </c>
      <c r="E6" s="9" t="s">
        <v>111</v>
      </c>
      <c r="G6" s="9" t="s">
        <v>112</v>
      </c>
      <c r="H6" s="9" t="s">
        <v>113</v>
      </c>
      <c r="J6" s="9" t="s">
        <v>114</v>
      </c>
      <c r="K6" s="9" t="s">
        <v>115</v>
      </c>
    </row>
    <row r="7" spans="1:12" x14ac:dyDescent="0.3">
      <c r="A7" s="14" t="s">
        <v>182</v>
      </c>
      <c r="B7" s="22">
        <v>16729</v>
      </c>
      <c r="C7" s="22">
        <v>4306</v>
      </c>
      <c r="D7" s="23">
        <f>B7+C7</f>
        <v>21035</v>
      </c>
      <c r="E7" s="24">
        <f t="shared" ref="E7:E12" si="0">C7/D7</f>
        <v>0.20470644164487758</v>
      </c>
      <c r="G7" s="25">
        <f t="shared" ref="G7:H11" si="1">$D7*B$12/$D$12</f>
        <v>16788.069642873299</v>
      </c>
      <c r="H7" s="25">
        <f t="shared" si="1"/>
        <v>4246.9303571267001</v>
      </c>
      <c r="J7" s="26">
        <f t="shared" ref="J7:K11" si="2">(B7-G7)^2/G7</f>
        <v>0.20783942307865605</v>
      </c>
      <c r="K7" s="26">
        <f t="shared" si="2"/>
        <v>0.82158698536791142</v>
      </c>
    </row>
    <row r="8" spans="1:12" x14ac:dyDescent="0.3">
      <c r="A8" s="14" t="s">
        <v>183</v>
      </c>
      <c r="B8" s="22">
        <v>6941</v>
      </c>
      <c r="C8" s="22">
        <v>2433</v>
      </c>
      <c r="D8" s="23">
        <f>B8+C8</f>
        <v>9374</v>
      </c>
      <c r="E8" s="24">
        <f t="shared" si="0"/>
        <v>0.25954768508640924</v>
      </c>
      <c r="G8" s="25">
        <f t="shared" si="1"/>
        <v>7481.4055066457959</v>
      </c>
      <c r="H8" s="25">
        <f t="shared" si="1"/>
        <v>1892.5944933542041</v>
      </c>
      <c r="J8" s="26">
        <f t="shared" si="2"/>
        <v>39.035193501231745</v>
      </c>
      <c r="K8" s="26">
        <f t="shared" si="2"/>
        <v>154.30569656552606</v>
      </c>
    </row>
    <row r="9" spans="1:12" x14ac:dyDescent="0.3">
      <c r="A9" s="14" t="s">
        <v>184</v>
      </c>
      <c r="B9" s="22">
        <v>22190</v>
      </c>
      <c r="C9" s="22">
        <v>6678</v>
      </c>
      <c r="D9" s="23">
        <f>B9+C9</f>
        <v>28868</v>
      </c>
      <c r="E9" s="24">
        <f t="shared" si="0"/>
        <v>0.23132880698351116</v>
      </c>
      <c r="G9" s="25">
        <f t="shared" si="1"/>
        <v>23039.600401733605</v>
      </c>
      <c r="H9" s="25">
        <f t="shared" si="1"/>
        <v>5828.3995982663928</v>
      </c>
      <c r="J9" s="26">
        <f t="shared" si="2"/>
        <v>31.329572997784741</v>
      </c>
      <c r="K9" s="26">
        <f t="shared" si="2"/>
        <v>123.84546228446763</v>
      </c>
    </row>
    <row r="10" spans="1:12" x14ac:dyDescent="0.3">
      <c r="A10" s="14" t="s">
        <v>185</v>
      </c>
      <c r="B10" s="22">
        <v>24416</v>
      </c>
      <c r="C10" s="22">
        <v>5656</v>
      </c>
      <c r="D10" s="23">
        <f>B10+C10</f>
        <v>30072</v>
      </c>
      <c r="E10" s="24">
        <f t="shared" si="0"/>
        <v>0.18808193668528864</v>
      </c>
      <c r="G10" s="25">
        <f t="shared" si="1"/>
        <v>24000.514870477105</v>
      </c>
      <c r="H10" s="25">
        <f t="shared" si="1"/>
        <v>6071.4851295228964</v>
      </c>
      <c r="J10" s="26">
        <f t="shared" si="2"/>
        <v>7.1926745649529815</v>
      </c>
      <c r="K10" s="26">
        <f t="shared" si="2"/>
        <v>28.432564549198403</v>
      </c>
    </row>
    <row r="11" spans="1:12" x14ac:dyDescent="0.3">
      <c r="A11" s="14" t="s">
        <v>186</v>
      </c>
      <c r="B11" s="22">
        <v>17931</v>
      </c>
      <c r="C11" s="22">
        <v>3241</v>
      </c>
      <c r="D11" s="23">
        <f>B11+C11</f>
        <v>21172</v>
      </c>
      <c r="E11" s="24">
        <f t="shared" si="0"/>
        <v>0.15307953901379179</v>
      </c>
      <c r="G11" s="25">
        <f t="shared" si="1"/>
        <v>16897.409578270192</v>
      </c>
      <c r="H11" s="25">
        <f t="shared" si="1"/>
        <v>4274.5904217298066</v>
      </c>
      <c r="J11" s="26">
        <f t="shared" si="2"/>
        <v>63.223250578327246</v>
      </c>
      <c r="K11" s="26">
        <f t="shared" si="2"/>
        <v>249.9208238667425</v>
      </c>
    </row>
    <row r="12" spans="1:12" x14ac:dyDescent="0.3">
      <c r="A12" s="27" t="s">
        <v>110</v>
      </c>
      <c r="B12" s="28">
        <f>SUM(B7:B11)</f>
        <v>88207</v>
      </c>
      <c r="C12" s="28">
        <f>SUM(C7:C11)</f>
        <v>22314</v>
      </c>
      <c r="D12" s="28">
        <f>SUM(D7:D11)</f>
        <v>110521</v>
      </c>
      <c r="E12" s="29">
        <f t="shared" si="0"/>
        <v>0.20189828177450439</v>
      </c>
      <c r="G12" s="30">
        <f>SUM(G7:G11)</f>
        <v>88207</v>
      </c>
      <c r="H12" s="30">
        <f>SUM(H7:H11)</f>
        <v>22314</v>
      </c>
      <c r="J12" s="31">
        <f>SUM(J7:J11)</f>
        <v>140.98853106537535</v>
      </c>
      <c r="K12" s="31">
        <f>SUM(K7:K11)</f>
        <v>557.32613425130251</v>
      </c>
    </row>
    <row r="14" spans="1:12" x14ac:dyDescent="0.3">
      <c r="A14" s="18" t="s">
        <v>122</v>
      </c>
    </row>
    <row r="15" spans="1:12" ht="30" customHeight="1" x14ac:dyDescent="0.3">
      <c r="A15" s="9" t="s">
        <v>123</v>
      </c>
      <c r="B15" s="9" t="s">
        <v>124</v>
      </c>
      <c r="C15" s="9" t="s">
        <v>125</v>
      </c>
      <c r="D15" s="9" t="s">
        <v>126</v>
      </c>
    </row>
    <row r="16" spans="1:12" x14ac:dyDescent="0.3">
      <c r="A16" s="14" t="s">
        <v>75</v>
      </c>
      <c r="B16" s="32">
        <f>SUM(J7:K11)</f>
        <v>698.31466531667786</v>
      </c>
      <c r="C16" s="14" t="s">
        <v>127</v>
      </c>
      <c r="D16" s="33" t="str">
        <f>IF(B16&gt;B18,"Yes","No")</f>
        <v>Yes</v>
      </c>
    </row>
    <row r="17" spans="1:11" x14ac:dyDescent="0.3">
      <c r="A17" s="14" t="s">
        <v>77</v>
      </c>
      <c r="B17" s="34">
        <f>(5-1)*(2-1)</f>
        <v>4</v>
      </c>
      <c r="C17" s="14" t="s">
        <v>128</v>
      </c>
      <c r="D17" s="33" t="s">
        <v>129</v>
      </c>
    </row>
    <row r="18" spans="1:11" x14ac:dyDescent="0.3">
      <c r="A18" s="14" t="s">
        <v>130</v>
      </c>
      <c r="B18" s="32">
        <f>CHIINV(0.05,B17)</f>
        <v>9.4877290367811575</v>
      </c>
      <c r="C18" s="14"/>
      <c r="D18" s="33" t="s">
        <v>129</v>
      </c>
    </row>
    <row r="19" spans="1:11" x14ac:dyDescent="0.3">
      <c r="A19" s="14" t="s">
        <v>79</v>
      </c>
      <c r="B19" s="35">
        <f>CHITEST(B7:C11,G7:H11)</f>
        <v>8.0753310577140612E-150</v>
      </c>
      <c r="C19" s="14" t="s">
        <v>131</v>
      </c>
      <c r="D19" s="33" t="str">
        <f>IF(B19&lt;0.05,"Yes","No")</f>
        <v>Yes</v>
      </c>
    </row>
    <row r="20" spans="1:11" x14ac:dyDescent="0.3">
      <c r="A20" s="14" t="s">
        <v>81</v>
      </c>
      <c r="B20" s="36">
        <f>SQRT(B16/D12)</f>
        <v>7.9488294431141859E-2</v>
      </c>
      <c r="C20" s="14" t="s">
        <v>132</v>
      </c>
      <c r="D20" s="33" t="s">
        <v>129</v>
      </c>
    </row>
    <row r="21" spans="1:11" x14ac:dyDescent="0.3">
      <c r="A21" s="14" t="s">
        <v>83</v>
      </c>
      <c r="B21" s="37">
        <f>(MAX(E7:E11)-MIN(E7:E11))*100</f>
        <v>10.646814607261746</v>
      </c>
      <c r="C21" s="38">
        <v>3</v>
      </c>
      <c r="D21" s="33" t="str">
        <f>IF(ABS(B21)&gt;=C21,"Yes","No")</f>
        <v>Yes</v>
      </c>
    </row>
    <row r="22" spans="1:11" x14ac:dyDescent="0.3">
      <c r="A22" s="39" t="s">
        <v>11</v>
      </c>
      <c r="B22" s="1" t="str">
        <f>IF(AND(B19&lt;0.05,D21="Yes"),IF(B20&lt;0.05,"Confirmed (weak)","Confirmed"),"Rejected")</f>
        <v>Confirmed</v>
      </c>
      <c r="C22" s="1"/>
      <c r="D22" s="1"/>
    </row>
    <row r="24" spans="1:11" x14ac:dyDescent="0.3">
      <c r="A24" s="18" t="s">
        <v>133</v>
      </c>
    </row>
    <row r="25" spans="1:11" ht="48" customHeight="1" x14ac:dyDescent="0.3">
      <c r="A25" s="2" t="s">
        <v>187</v>
      </c>
      <c r="B25" s="2"/>
      <c r="C25" s="2"/>
      <c r="D25" s="2"/>
      <c r="E25" s="2"/>
      <c r="F25" s="2"/>
      <c r="G25" s="2"/>
      <c r="H25" s="2"/>
      <c r="I25" s="2"/>
      <c r="J25" s="2"/>
      <c r="K25" s="2"/>
    </row>
  </sheetData>
  <mergeCells count="2">
    <mergeCell ref="B22:D22"/>
    <mergeCell ref="A25:K25"/>
  </mergeCells>
  <hyperlinks>
    <hyperlink ref="L1" r:id="rId1" location="'Overview'!A1" xr:uid="{00000000-0004-0000-0700-000000000000}"/>
  </hyperlinks>
  <pageMargins left="0.75" right="0.75" top="1" bottom="1" header="0.511811023622047" footer="0.511811023622047"/>
  <pageSetup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22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30" customWidth="1"/>
    <col min="2" max="2" width="12" customWidth="1"/>
    <col min="3" max="3" width="14" customWidth="1"/>
    <col min="4" max="4" width="12" customWidth="1"/>
    <col min="5" max="5" width="14" customWidth="1"/>
    <col min="6" max="6" width="3" customWidth="1"/>
    <col min="7" max="8" width="14" customWidth="1"/>
    <col min="9" max="9" width="3" customWidth="1"/>
    <col min="10" max="11" width="16" customWidth="1"/>
    <col min="12" max="12" width="20" customWidth="1"/>
  </cols>
  <sheetData>
    <row r="1" spans="1:12" ht="21" x14ac:dyDescent="0.4">
      <c r="A1" s="3" t="s">
        <v>188</v>
      </c>
      <c r="L1" s="17" t="s">
        <v>55</v>
      </c>
    </row>
    <row r="2" spans="1:12" x14ac:dyDescent="0.3">
      <c r="A2" s="21" t="s">
        <v>189</v>
      </c>
    </row>
    <row r="3" spans="1:12" x14ac:dyDescent="0.3">
      <c r="A3" s="4" t="s">
        <v>103</v>
      </c>
    </row>
    <row r="5" spans="1:12" x14ac:dyDescent="0.3">
      <c r="A5" s="18" t="s">
        <v>104</v>
      </c>
      <c r="G5" s="18" t="s">
        <v>105</v>
      </c>
      <c r="J5" s="18" t="s">
        <v>106</v>
      </c>
    </row>
    <row r="6" spans="1:12" ht="30" customHeight="1" x14ac:dyDescent="0.3">
      <c r="A6" s="9" t="s">
        <v>190</v>
      </c>
      <c r="B6" s="9" t="s">
        <v>108</v>
      </c>
      <c r="C6" s="9" t="s">
        <v>109</v>
      </c>
      <c r="D6" s="9" t="s">
        <v>110</v>
      </c>
      <c r="E6" s="9" t="s">
        <v>111</v>
      </c>
      <c r="G6" s="9" t="s">
        <v>112</v>
      </c>
      <c r="H6" s="9" t="s">
        <v>113</v>
      </c>
      <c r="J6" s="9" t="s">
        <v>114</v>
      </c>
      <c r="K6" s="9" t="s">
        <v>115</v>
      </c>
    </row>
    <row r="7" spans="1:12" x14ac:dyDescent="0.3">
      <c r="A7" s="14" t="s">
        <v>191</v>
      </c>
      <c r="B7" s="22">
        <v>57245</v>
      </c>
      <c r="C7" s="22">
        <v>14591</v>
      </c>
      <c r="D7" s="23">
        <f>B7+C7</f>
        <v>71836</v>
      </c>
      <c r="E7" s="24">
        <f>C7/D7</f>
        <v>0.20311542958962081</v>
      </c>
      <c r="G7" s="25">
        <f>$D7*B$9/$D$9</f>
        <v>57332.435030446701</v>
      </c>
      <c r="H7" s="25">
        <f>$D7*C$9/$D$9</f>
        <v>14503.564969553297</v>
      </c>
      <c r="J7" s="26">
        <f>(B7-G7)^2/G7</f>
        <v>0.13334309880882644</v>
      </c>
      <c r="K7" s="26">
        <f>(C7-H7)^2/H7</f>
        <v>0.52710382345749951</v>
      </c>
    </row>
    <row r="8" spans="1:12" x14ac:dyDescent="0.3">
      <c r="A8" s="14" t="s">
        <v>192</v>
      </c>
      <c r="B8" s="22">
        <v>30962</v>
      </c>
      <c r="C8" s="22">
        <v>7723</v>
      </c>
      <c r="D8" s="23">
        <f>B8+C8</f>
        <v>38685</v>
      </c>
      <c r="E8" s="24">
        <f>C8/D8</f>
        <v>0.19963810262375598</v>
      </c>
      <c r="G8" s="25">
        <f>$D8*B$9/$D$9</f>
        <v>30874.564969553299</v>
      </c>
      <c r="H8" s="25">
        <f>$D8*C$9/$D$9</f>
        <v>7810.4350304467025</v>
      </c>
      <c r="J8" s="26">
        <f>(B8-G8)^2/G8</f>
        <v>0.2476110855895271</v>
      </c>
      <c r="K8" s="26">
        <f>(C8-H8)^2/H8</f>
        <v>0.9788039359413967</v>
      </c>
    </row>
    <row r="9" spans="1:12" x14ac:dyDescent="0.3">
      <c r="A9" s="27" t="s">
        <v>110</v>
      </c>
      <c r="B9" s="28">
        <f>SUM(B7:B8)</f>
        <v>88207</v>
      </c>
      <c r="C9" s="28">
        <f>SUM(C7:C8)</f>
        <v>22314</v>
      </c>
      <c r="D9" s="28">
        <f>SUM(D7:D8)</f>
        <v>110521</v>
      </c>
      <c r="E9" s="29">
        <f>C9/D9</f>
        <v>0.20189828177450439</v>
      </c>
      <c r="G9" s="30">
        <f>SUM(G7:G8)</f>
        <v>88207</v>
      </c>
      <c r="H9" s="30">
        <f>SUM(H7:H8)</f>
        <v>22314</v>
      </c>
      <c r="J9" s="31">
        <f>SUM(J7:J8)</f>
        <v>0.38095418439835355</v>
      </c>
      <c r="K9" s="31">
        <f>SUM(K7:K8)</f>
        <v>1.5059077593988963</v>
      </c>
    </row>
    <row r="11" spans="1:12" x14ac:dyDescent="0.3">
      <c r="A11" s="18" t="s">
        <v>122</v>
      </c>
    </row>
    <row r="12" spans="1:12" ht="30" customHeight="1" x14ac:dyDescent="0.3">
      <c r="A12" s="9" t="s">
        <v>123</v>
      </c>
      <c r="B12" s="9" t="s">
        <v>124</v>
      </c>
      <c r="C12" s="9" t="s">
        <v>125</v>
      </c>
      <c r="D12" s="9" t="s">
        <v>126</v>
      </c>
    </row>
    <row r="13" spans="1:12" x14ac:dyDescent="0.3">
      <c r="A13" s="14" t="s">
        <v>75</v>
      </c>
      <c r="B13" s="32">
        <f>SUM(J7:K8)</f>
        <v>1.8868619437972498</v>
      </c>
      <c r="C13" s="14" t="s">
        <v>127</v>
      </c>
      <c r="D13" s="33" t="str">
        <f>IF(B13&gt;B15,"Yes","No")</f>
        <v>No</v>
      </c>
    </row>
    <row r="14" spans="1:12" x14ac:dyDescent="0.3">
      <c r="A14" s="14" t="s">
        <v>77</v>
      </c>
      <c r="B14" s="34">
        <f>(2-1)*(2-1)</f>
        <v>1</v>
      </c>
      <c r="C14" s="14" t="s">
        <v>128</v>
      </c>
      <c r="D14" s="33" t="s">
        <v>129</v>
      </c>
    </row>
    <row r="15" spans="1:12" x14ac:dyDescent="0.3">
      <c r="A15" s="14" t="s">
        <v>130</v>
      </c>
      <c r="B15" s="32">
        <f>CHIINV(0.05,B14)</f>
        <v>3.8414588206941236</v>
      </c>
      <c r="C15" s="14"/>
      <c r="D15" s="33" t="s">
        <v>129</v>
      </c>
    </row>
    <row r="16" spans="1:12" x14ac:dyDescent="0.3">
      <c r="A16" s="14" t="s">
        <v>79</v>
      </c>
      <c r="B16" s="35">
        <f>CHITEST(B7:C8,G7:H8)</f>
        <v>0.16955628825779007</v>
      </c>
      <c r="C16" s="14" t="s">
        <v>131</v>
      </c>
      <c r="D16" s="33" t="str">
        <f>IF(B16&lt;0.05,"Yes","No")</f>
        <v>No</v>
      </c>
    </row>
    <row r="17" spans="1:11" x14ac:dyDescent="0.3">
      <c r="A17" s="14" t="s">
        <v>81</v>
      </c>
      <c r="B17" s="36">
        <f>SQRT(B13/D9)</f>
        <v>4.1318796165272136E-3</v>
      </c>
      <c r="C17" s="14" t="s">
        <v>132</v>
      </c>
      <c r="D17" s="33" t="s">
        <v>129</v>
      </c>
    </row>
    <row r="18" spans="1:11" x14ac:dyDescent="0.3">
      <c r="A18" s="14" t="s">
        <v>83</v>
      </c>
      <c r="B18" s="37">
        <f>(E8-E7)*100</f>
        <v>-0.34773269658648354</v>
      </c>
      <c r="C18" s="38">
        <v>3</v>
      </c>
      <c r="D18" s="33" t="str">
        <f>IF(ABS(B18)&gt;=C18,"Yes","No")</f>
        <v>No</v>
      </c>
    </row>
    <row r="19" spans="1:11" x14ac:dyDescent="0.3">
      <c r="A19" s="39" t="s">
        <v>11</v>
      </c>
      <c r="B19" s="1" t="str">
        <f>IF(AND(B16&lt;0.05,D18="Yes"),IF(B17&lt;0.05,"Confirmed (weak)","Confirmed"),"Rejected")</f>
        <v>Rejected</v>
      </c>
      <c r="C19" s="1"/>
      <c r="D19" s="1"/>
    </row>
    <row r="21" spans="1:11" x14ac:dyDescent="0.3">
      <c r="A21" s="18" t="s">
        <v>133</v>
      </c>
    </row>
    <row r="22" spans="1:11" ht="48" customHeight="1" x14ac:dyDescent="0.3">
      <c r="A22" s="2" t="s">
        <v>193</v>
      </c>
      <c r="B22" s="2"/>
      <c r="C22" s="2"/>
      <c r="D22" s="2"/>
      <c r="E22" s="2"/>
      <c r="F22" s="2"/>
      <c r="G22" s="2"/>
      <c r="H22" s="2"/>
      <c r="I22" s="2"/>
      <c r="J22" s="2"/>
      <c r="K22" s="2"/>
    </row>
  </sheetData>
  <mergeCells count="2">
    <mergeCell ref="B19:D19"/>
    <mergeCell ref="A22:K22"/>
  </mergeCells>
  <hyperlinks>
    <hyperlink ref="L1" r:id="rId1" location="'Overview'!A1" xr:uid="{00000000-0004-0000-0800-000000000000}"/>
  </hyperlinks>
  <pageMargins left="0.75" right="0.75" top="1" bottom="1" header="0.511811023622047" footer="0.511811023622047"/>
  <pageSetup fitToHeight="0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L22"/>
  <sheetViews>
    <sheetView showGridLines="0" zoomScaleNormal="100" workbookViewId="0">
      <pane ySplit="4" topLeftCell="A6" activePane="bottomLeft" state="frozen"/>
      <selection pane="bottomLeft"/>
    </sheetView>
  </sheetViews>
  <sheetFormatPr defaultColWidth="8.6640625" defaultRowHeight="14.4" x14ac:dyDescent="0.3"/>
  <cols>
    <col min="1" max="1" width="30" customWidth="1"/>
    <col min="2" max="2" width="12" customWidth="1"/>
    <col min="3" max="3" width="14" customWidth="1"/>
    <col min="4" max="4" width="12" customWidth="1"/>
    <col min="5" max="5" width="14" customWidth="1"/>
    <col min="6" max="6" width="3" customWidth="1"/>
    <col min="7" max="8" width="14" customWidth="1"/>
    <col min="9" max="9" width="3" customWidth="1"/>
    <col min="10" max="11" width="16" customWidth="1"/>
    <col min="12" max="12" width="20" customWidth="1"/>
  </cols>
  <sheetData>
    <row r="1" spans="1:12" ht="21" x14ac:dyDescent="0.4">
      <c r="A1" s="3" t="s">
        <v>337</v>
      </c>
      <c r="L1" s="17" t="s">
        <v>55</v>
      </c>
    </row>
    <row r="2" spans="1:12" x14ac:dyDescent="0.3">
      <c r="A2" s="21" t="s">
        <v>194</v>
      </c>
    </row>
    <row r="3" spans="1:12" x14ac:dyDescent="0.3">
      <c r="A3" s="4" t="s">
        <v>103</v>
      </c>
    </row>
    <row r="5" spans="1:12" x14ac:dyDescent="0.3">
      <c r="A5" s="18" t="s">
        <v>104</v>
      </c>
      <c r="G5" s="18" t="s">
        <v>105</v>
      </c>
      <c r="J5" s="18" t="s">
        <v>106</v>
      </c>
    </row>
    <row r="6" spans="1:12" ht="30" customHeight="1" x14ac:dyDescent="0.3">
      <c r="A6" s="9" t="s">
        <v>195</v>
      </c>
      <c r="B6" s="9" t="s">
        <v>108</v>
      </c>
      <c r="C6" s="9" t="s">
        <v>109</v>
      </c>
      <c r="D6" s="9" t="s">
        <v>110</v>
      </c>
      <c r="E6" s="9" t="s">
        <v>111</v>
      </c>
      <c r="G6" s="9" t="s">
        <v>112</v>
      </c>
      <c r="H6" s="9" t="s">
        <v>113</v>
      </c>
      <c r="J6" s="9" t="s">
        <v>114</v>
      </c>
      <c r="K6" s="9" t="s">
        <v>115</v>
      </c>
    </row>
    <row r="7" spans="1:12" x14ac:dyDescent="0.3">
      <c r="A7" s="14" t="s">
        <v>196</v>
      </c>
      <c r="B7" s="22">
        <v>79924</v>
      </c>
      <c r="C7" s="22">
        <v>19736</v>
      </c>
      <c r="D7" s="23">
        <f>B7+C7</f>
        <v>99660</v>
      </c>
      <c r="E7" s="24">
        <f>C7/D7</f>
        <v>0.19803331326510135</v>
      </c>
      <c r="G7" s="25">
        <f>$D7*B$9/$D$9</f>
        <v>79538.817238352887</v>
      </c>
      <c r="H7" s="25">
        <f>$D7*C$9/$D$9</f>
        <v>20121.182761647109</v>
      </c>
      <c r="J7" s="26">
        <f>(B7-G7)^2/G7</f>
        <v>1.8653251961930846</v>
      </c>
      <c r="K7" s="26">
        <f>(C7-H7)^2/H7</f>
        <v>7.3736102707089843</v>
      </c>
    </row>
    <row r="8" spans="1:12" x14ac:dyDescent="0.3">
      <c r="A8" s="14" t="s">
        <v>197</v>
      </c>
      <c r="B8" s="22">
        <v>8283</v>
      </c>
      <c r="C8" s="22">
        <v>2578</v>
      </c>
      <c r="D8" s="23">
        <f>B8+C8</f>
        <v>10861</v>
      </c>
      <c r="E8" s="24">
        <f>C8/D8</f>
        <v>0.23736304207715681</v>
      </c>
      <c r="G8" s="25">
        <f>$D8*B$9/$D$9</f>
        <v>8668.1827616471073</v>
      </c>
      <c r="H8" s="25">
        <f>$D8*C$9/$D$9</f>
        <v>2192.8172383528922</v>
      </c>
      <c r="J8" s="26">
        <f>(B8-G8)^2/G8</f>
        <v>17.116131944811485</v>
      </c>
      <c r="K8" s="26">
        <f>(C8-H8)^2/H8</f>
        <v>67.659883949806854</v>
      </c>
    </row>
    <row r="9" spans="1:12" x14ac:dyDescent="0.3">
      <c r="A9" s="27" t="s">
        <v>110</v>
      </c>
      <c r="B9" s="28">
        <f>SUM(B7:B8)</f>
        <v>88207</v>
      </c>
      <c r="C9" s="28">
        <f>SUM(C7:C8)</f>
        <v>22314</v>
      </c>
      <c r="D9" s="28">
        <f>SUM(D7:D8)</f>
        <v>110521</v>
      </c>
      <c r="E9" s="29">
        <f>C9/D9</f>
        <v>0.20189828177450439</v>
      </c>
      <c r="G9" s="30">
        <f>SUM(G7:G8)</f>
        <v>88207</v>
      </c>
      <c r="H9" s="30">
        <f>SUM(H7:H8)</f>
        <v>22314</v>
      </c>
      <c r="J9" s="31">
        <f>SUM(J7:J8)</f>
        <v>18.981457141004569</v>
      </c>
      <c r="K9" s="31">
        <f>SUM(K7:K8)</f>
        <v>75.033494220515834</v>
      </c>
    </row>
    <row r="11" spans="1:12" x14ac:dyDescent="0.3">
      <c r="A11" s="18" t="s">
        <v>122</v>
      </c>
    </row>
    <row r="12" spans="1:12" ht="30" customHeight="1" x14ac:dyDescent="0.3">
      <c r="A12" s="9" t="s">
        <v>123</v>
      </c>
      <c r="B12" s="9" t="s">
        <v>124</v>
      </c>
      <c r="C12" s="9" t="s">
        <v>125</v>
      </c>
      <c r="D12" s="9" t="s">
        <v>126</v>
      </c>
    </row>
    <row r="13" spans="1:12" x14ac:dyDescent="0.3">
      <c r="A13" s="14" t="s">
        <v>75</v>
      </c>
      <c r="B13" s="32">
        <f>SUM(J7:K8)</f>
        <v>94.014951361520417</v>
      </c>
      <c r="C13" s="14" t="s">
        <v>127</v>
      </c>
      <c r="D13" s="33" t="str">
        <f>IF(B13&gt;B15,"Yes","No")</f>
        <v>Yes</v>
      </c>
    </row>
    <row r="14" spans="1:12" x14ac:dyDescent="0.3">
      <c r="A14" s="14" t="s">
        <v>77</v>
      </c>
      <c r="B14" s="34">
        <f>(2-1)*(2-1)</f>
        <v>1</v>
      </c>
      <c r="C14" s="14" t="s">
        <v>128</v>
      </c>
      <c r="D14" s="33" t="s">
        <v>129</v>
      </c>
    </row>
    <row r="15" spans="1:12" x14ac:dyDescent="0.3">
      <c r="A15" s="14" t="s">
        <v>130</v>
      </c>
      <c r="B15" s="32">
        <f>CHIINV(0.05,B14)</f>
        <v>3.8414588206941236</v>
      </c>
      <c r="C15" s="14"/>
      <c r="D15" s="33" t="s">
        <v>129</v>
      </c>
    </row>
    <row r="16" spans="1:12" x14ac:dyDescent="0.3">
      <c r="A16" s="14" t="s">
        <v>79</v>
      </c>
      <c r="B16" s="35">
        <f>CHITEST(B7:C8,G7:H8)</f>
        <v>3.1314949954085444E-22</v>
      </c>
      <c r="C16" s="14" t="s">
        <v>131</v>
      </c>
      <c r="D16" s="33" t="str">
        <f>IF(B16&lt;0.05,"Yes","No")</f>
        <v>Yes</v>
      </c>
    </row>
    <row r="17" spans="1:11" x14ac:dyDescent="0.3">
      <c r="A17" s="14" t="s">
        <v>81</v>
      </c>
      <c r="B17" s="36">
        <f>SQRT(B13/D9)</f>
        <v>2.9165945502041931E-2</v>
      </c>
      <c r="C17" s="14" t="s">
        <v>132</v>
      </c>
      <c r="D17" s="33" t="s">
        <v>129</v>
      </c>
    </row>
    <row r="18" spans="1:11" x14ac:dyDescent="0.3">
      <c r="A18" s="14" t="s">
        <v>83</v>
      </c>
      <c r="B18" s="37">
        <f>(E8-E7)*100</f>
        <v>3.9329728812055458</v>
      </c>
      <c r="C18" s="38">
        <v>3</v>
      </c>
      <c r="D18" s="33" t="str">
        <f>IF(ABS(B18)&gt;=C18,"Yes","No")</f>
        <v>Yes</v>
      </c>
    </row>
    <row r="19" spans="1:11" x14ac:dyDescent="0.3">
      <c r="A19" s="39" t="s">
        <v>11</v>
      </c>
      <c r="B19" s="1" t="str">
        <f>IF(AND(B16&lt;0.05,D18="Yes"),IF(B17&lt;0.05,"Confirmed (weak)","Confirmed"),"Rejected")</f>
        <v>Confirmed (weak)</v>
      </c>
      <c r="C19" s="1"/>
      <c r="D19" s="1"/>
    </row>
    <row r="21" spans="1:11" x14ac:dyDescent="0.3">
      <c r="A21" s="18" t="s">
        <v>133</v>
      </c>
    </row>
    <row r="22" spans="1:11" ht="48" customHeight="1" x14ac:dyDescent="0.3">
      <c r="A22" s="2" t="s">
        <v>198</v>
      </c>
      <c r="B22" s="2"/>
      <c r="C22" s="2"/>
      <c r="D22" s="2"/>
      <c r="E22" s="2"/>
      <c r="F22" s="2"/>
      <c r="G22" s="2"/>
      <c r="H22" s="2"/>
      <c r="I22" s="2"/>
      <c r="J22" s="2"/>
      <c r="K22" s="2"/>
    </row>
  </sheetData>
  <mergeCells count="2">
    <mergeCell ref="B19:D19"/>
    <mergeCell ref="A22:K22"/>
  </mergeCells>
  <hyperlinks>
    <hyperlink ref="L1" r:id="rId1" location="'Overview'!A1" xr:uid="{00000000-0004-0000-0900-000000000000}"/>
  </hyperlinks>
  <pageMargins left="0.75" right="0.75" top="1" bottom="1" header="0.511811023622047" footer="0.511811023622047"/>
  <pageSetup fitToHeight="0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L22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30" customWidth="1"/>
    <col min="2" max="2" width="12" customWidth="1"/>
    <col min="3" max="3" width="14" customWidth="1"/>
    <col min="4" max="4" width="12" customWidth="1"/>
    <col min="5" max="5" width="14" customWidth="1"/>
    <col min="6" max="6" width="3" customWidth="1"/>
    <col min="7" max="8" width="14" customWidth="1"/>
    <col min="9" max="9" width="3" customWidth="1"/>
    <col min="10" max="11" width="16" customWidth="1"/>
    <col min="12" max="12" width="20" customWidth="1"/>
  </cols>
  <sheetData>
    <row r="1" spans="1:12" ht="21" x14ac:dyDescent="0.4">
      <c r="A1" s="3" t="s">
        <v>199</v>
      </c>
      <c r="L1" s="17" t="s">
        <v>55</v>
      </c>
    </row>
    <row r="2" spans="1:12" x14ac:dyDescent="0.3">
      <c r="A2" s="21" t="s">
        <v>200</v>
      </c>
    </row>
    <row r="3" spans="1:12" x14ac:dyDescent="0.3">
      <c r="A3" s="4" t="s">
        <v>103</v>
      </c>
    </row>
    <row r="5" spans="1:12" x14ac:dyDescent="0.3">
      <c r="A5" s="18" t="s">
        <v>104</v>
      </c>
      <c r="G5" s="18" t="s">
        <v>105</v>
      </c>
      <c r="J5" s="18" t="s">
        <v>106</v>
      </c>
    </row>
    <row r="6" spans="1:12" ht="30" customHeight="1" x14ac:dyDescent="0.3">
      <c r="A6" s="9" t="s">
        <v>201</v>
      </c>
      <c r="B6" s="9" t="s">
        <v>108</v>
      </c>
      <c r="C6" s="9" t="s">
        <v>109</v>
      </c>
      <c r="D6" s="9" t="s">
        <v>110</v>
      </c>
      <c r="E6" s="9" t="s">
        <v>111</v>
      </c>
      <c r="G6" s="9" t="s">
        <v>112</v>
      </c>
      <c r="H6" s="9" t="s">
        <v>113</v>
      </c>
      <c r="J6" s="9" t="s">
        <v>114</v>
      </c>
      <c r="K6" s="9" t="s">
        <v>115</v>
      </c>
    </row>
    <row r="7" spans="1:12" x14ac:dyDescent="0.3">
      <c r="A7" s="14" t="s">
        <v>202</v>
      </c>
      <c r="B7" s="22">
        <v>70178</v>
      </c>
      <c r="C7" s="22">
        <v>18542</v>
      </c>
      <c r="D7" s="23">
        <f>B7+C7</f>
        <v>88720</v>
      </c>
      <c r="E7" s="24">
        <f>C7/D7</f>
        <v>0.20899458972046889</v>
      </c>
      <c r="G7" s="25">
        <f>$D7*B$9/$D$9</f>
        <v>70807.584440965977</v>
      </c>
      <c r="H7" s="25">
        <f>$D7*C$9/$D$9</f>
        <v>17912.415559034031</v>
      </c>
      <c r="J7" s="26">
        <f>(B7-G7)^2/G7</f>
        <v>5.5979394218271947</v>
      </c>
      <c r="K7" s="26">
        <f>(C7-H7)^2/H7</f>
        <v>22.128593823657795</v>
      </c>
    </row>
    <row r="8" spans="1:12" x14ac:dyDescent="0.3">
      <c r="A8" s="14" t="s">
        <v>203</v>
      </c>
      <c r="B8" s="22">
        <v>18029</v>
      </c>
      <c r="C8" s="22">
        <v>3772</v>
      </c>
      <c r="D8" s="23">
        <f>B8+C8</f>
        <v>21801</v>
      </c>
      <c r="E8" s="24">
        <f>C8/D8</f>
        <v>0.17301958625751113</v>
      </c>
      <c r="G8" s="25">
        <f>$D8*B$9/$D$9</f>
        <v>17399.415559034031</v>
      </c>
      <c r="H8" s="25">
        <f>$D8*C$9/$D$9</f>
        <v>4401.5844409659703</v>
      </c>
      <c r="J8" s="26">
        <f>(B8-G8)^2/G8</f>
        <v>22.781027728292155</v>
      </c>
      <c r="K8" s="26">
        <f>(C8-H8)^2/H8</f>
        <v>90.053155544925701</v>
      </c>
    </row>
    <row r="9" spans="1:12" x14ac:dyDescent="0.3">
      <c r="A9" s="27" t="s">
        <v>110</v>
      </c>
      <c r="B9" s="28">
        <f>SUM(B7:B8)</f>
        <v>88207</v>
      </c>
      <c r="C9" s="28">
        <f>SUM(C7:C8)</f>
        <v>22314</v>
      </c>
      <c r="D9" s="28">
        <f>SUM(D7:D8)</f>
        <v>110521</v>
      </c>
      <c r="E9" s="29">
        <f>C9/D9</f>
        <v>0.20189828177450439</v>
      </c>
      <c r="G9" s="30">
        <f>SUM(G7:G8)</f>
        <v>88207</v>
      </c>
      <c r="H9" s="30">
        <f>SUM(H7:H8)</f>
        <v>22314</v>
      </c>
      <c r="J9" s="31">
        <f>SUM(J7:J8)</f>
        <v>28.378967150119351</v>
      </c>
      <c r="K9" s="31">
        <f>SUM(K7:K8)</f>
        <v>112.1817493685835</v>
      </c>
    </row>
    <row r="11" spans="1:12" x14ac:dyDescent="0.3">
      <c r="A11" s="18" t="s">
        <v>122</v>
      </c>
    </row>
    <row r="12" spans="1:12" ht="30" customHeight="1" x14ac:dyDescent="0.3">
      <c r="A12" s="9" t="s">
        <v>123</v>
      </c>
      <c r="B12" s="9" t="s">
        <v>124</v>
      </c>
      <c r="C12" s="9" t="s">
        <v>125</v>
      </c>
      <c r="D12" s="9" t="s">
        <v>126</v>
      </c>
    </row>
    <row r="13" spans="1:12" x14ac:dyDescent="0.3">
      <c r="A13" s="14" t="s">
        <v>75</v>
      </c>
      <c r="B13" s="32">
        <f>SUM(J7:K8)</f>
        <v>140.56071651870286</v>
      </c>
      <c r="C13" s="14" t="s">
        <v>127</v>
      </c>
      <c r="D13" s="33" t="str">
        <f>IF(B13&gt;B15,"Yes","No")</f>
        <v>Yes</v>
      </c>
    </row>
    <row r="14" spans="1:12" x14ac:dyDescent="0.3">
      <c r="A14" s="14" t="s">
        <v>77</v>
      </c>
      <c r="B14" s="34">
        <f>(2-1)*(2-1)</f>
        <v>1</v>
      </c>
      <c r="C14" s="14" t="s">
        <v>128</v>
      </c>
      <c r="D14" s="33" t="s">
        <v>129</v>
      </c>
    </row>
    <row r="15" spans="1:12" x14ac:dyDescent="0.3">
      <c r="A15" s="14" t="s">
        <v>130</v>
      </c>
      <c r="B15" s="32">
        <f>CHIINV(0.05,B14)</f>
        <v>3.8414588206941236</v>
      </c>
      <c r="C15" s="14"/>
      <c r="D15" s="33" t="s">
        <v>129</v>
      </c>
    </row>
    <row r="16" spans="1:12" x14ac:dyDescent="0.3">
      <c r="A16" s="14" t="s">
        <v>79</v>
      </c>
      <c r="B16" s="35">
        <f>CHITEST(B7:C8,G7:H8)</f>
        <v>2.0072417910574004E-32</v>
      </c>
      <c r="C16" s="14" t="s">
        <v>131</v>
      </c>
      <c r="D16" s="33" t="str">
        <f>IF(B16&lt;0.05,"Yes","No")</f>
        <v>Yes</v>
      </c>
    </row>
    <row r="17" spans="1:11" x14ac:dyDescent="0.3">
      <c r="A17" s="14" t="s">
        <v>81</v>
      </c>
      <c r="B17" s="36">
        <f>SQRT(B13/D9)</f>
        <v>3.5662318821028979E-2</v>
      </c>
      <c r="C17" s="14" t="s">
        <v>132</v>
      </c>
      <c r="D17" s="33" t="s">
        <v>129</v>
      </c>
    </row>
    <row r="18" spans="1:11" x14ac:dyDescent="0.3">
      <c r="A18" s="14" t="s">
        <v>83</v>
      </c>
      <c r="B18" s="37">
        <f>(E8-E7)*100</f>
        <v>-3.5975003462957762</v>
      </c>
      <c r="C18" s="38">
        <v>3</v>
      </c>
      <c r="D18" s="33" t="str">
        <f>IF(ABS(B18)&gt;=C18,"Yes","No")</f>
        <v>Yes</v>
      </c>
    </row>
    <row r="19" spans="1:11" x14ac:dyDescent="0.3">
      <c r="A19" s="39" t="s">
        <v>11</v>
      </c>
      <c r="B19" s="1" t="str">
        <f>IF(AND(B16&lt;0.05,D18="Yes"),IF(B17&lt;0.05,"Confirmed (weak)","Confirmed"),"Rejected")</f>
        <v>Confirmed (weak)</v>
      </c>
      <c r="C19" s="1"/>
      <c r="D19" s="1"/>
    </row>
    <row r="21" spans="1:11" x14ac:dyDescent="0.3">
      <c r="A21" s="18" t="s">
        <v>133</v>
      </c>
    </row>
    <row r="22" spans="1:11" ht="48" customHeight="1" x14ac:dyDescent="0.3">
      <c r="A22" s="2" t="s">
        <v>204</v>
      </c>
      <c r="B22" s="2"/>
      <c r="C22" s="2"/>
      <c r="D22" s="2"/>
      <c r="E22" s="2"/>
      <c r="F22" s="2"/>
      <c r="G22" s="2"/>
      <c r="H22" s="2"/>
      <c r="I22" s="2"/>
      <c r="J22" s="2"/>
      <c r="K22" s="2"/>
    </row>
  </sheetData>
  <mergeCells count="2">
    <mergeCell ref="B19:D19"/>
    <mergeCell ref="A22:K22"/>
  </mergeCells>
  <hyperlinks>
    <hyperlink ref="L1" r:id="rId1" location="'Overview'!A1" xr:uid="{00000000-0004-0000-0A00-000000000000}"/>
  </hyperlinks>
  <pageMargins left="0.75" right="0.75" top="1" bottom="1" header="0.511811023622047" footer="0.511811023622047"/>
  <pageSetup fitToHeight="0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L22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30" customWidth="1"/>
    <col min="2" max="2" width="12" customWidth="1"/>
    <col min="3" max="3" width="14" customWidth="1"/>
    <col min="4" max="4" width="12" customWidth="1"/>
    <col min="5" max="5" width="14" customWidth="1"/>
    <col min="6" max="6" width="3" customWidth="1"/>
    <col min="7" max="8" width="14" customWidth="1"/>
    <col min="9" max="9" width="3" customWidth="1"/>
    <col min="10" max="11" width="16" customWidth="1"/>
    <col min="12" max="12" width="20" customWidth="1"/>
  </cols>
  <sheetData>
    <row r="1" spans="1:12" ht="21" x14ac:dyDescent="0.4">
      <c r="A1" s="3" t="s">
        <v>205</v>
      </c>
      <c r="L1" s="17" t="s">
        <v>55</v>
      </c>
    </row>
    <row r="2" spans="1:12" x14ac:dyDescent="0.3">
      <c r="A2" s="21" t="s">
        <v>206</v>
      </c>
    </row>
    <row r="3" spans="1:12" x14ac:dyDescent="0.3">
      <c r="A3" s="4" t="s">
        <v>103</v>
      </c>
    </row>
    <row r="5" spans="1:12" x14ac:dyDescent="0.3">
      <c r="A5" s="18" t="s">
        <v>104</v>
      </c>
      <c r="G5" s="18" t="s">
        <v>105</v>
      </c>
      <c r="J5" s="18" t="s">
        <v>106</v>
      </c>
    </row>
    <row r="6" spans="1:12" ht="30" customHeight="1" x14ac:dyDescent="0.3">
      <c r="A6" s="9" t="s">
        <v>201</v>
      </c>
      <c r="B6" s="9" t="s">
        <v>108</v>
      </c>
      <c r="C6" s="9" t="s">
        <v>109</v>
      </c>
      <c r="D6" s="9" t="s">
        <v>110</v>
      </c>
      <c r="E6" s="9" t="s">
        <v>111</v>
      </c>
      <c r="G6" s="9" t="s">
        <v>112</v>
      </c>
      <c r="H6" s="9" t="s">
        <v>113</v>
      </c>
      <c r="J6" s="9" t="s">
        <v>114</v>
      </c>
      <c r="K6" s="9" t="s">
        <v>115</v>
      </c>
    </row>
    <row r="7" spans="1:12" x14ac:dyDescent="0.3">
      <c r="A7" s="14" t="s">
        <v>207</v>
      </c>
      <c r="B7" s="22">
        <v>81694</v>
      </c>
      <c r="C7" s="22">
        <v>20884</v>
      </c>
      <c r="D7" s="23">
        <f>B7+C7</f>
        <v>102578</v>
      </c>
      <c r="E7" s="24">
        <f>C7/D7</f>
        <v>0.20359141336348924</v>
      </c>
      <c r="G7" s="25">
        <f>$D7*B$9/$D$9</f>
        <v>81867.678052134885</v>
      </c>
      <c r="H7" s="25">
        <f>$D7*C$9/$D$9</f>
        <v>20710.321947865112</v>
      </c>
      <c r="J7" s="26">
        <f>(B7-G7)^2/G7</f>
        <v>0.36844902055434697</v>
      </c>
      <c r="K7" s="26">
        <f>(C7-H7)^2/H7</f>
        <v>1.4564749823446554</v>
      </c>
    </row>
    <row r="8" spans="1:12" x14ac:dyDescent="0.3">
      <c r="A8" s="14" t="s">
        <v>208</v>
      </c>
      <c r="B8" s="22">
        <v>6513</v>
      </c>
      <c r="C8" s="22">
        <v>1430</v>
      </c>
      <c r="D8" s="23">
        <f>B8+C8</f>
        <v>7943</v>
      </c>
      <c r="E8" s="24">
        <f>C8/D8</f>
        <v>0.18003273322422259</v>
      </c>
      <c r="G8" s="25">
        <f>$D8*B$9/$D$9</f>
        <v>6339.3219478651117</v>
      </c>
      <c r="H8" s="25">
        <f>$D8*C$9/$D$9</f>
        <v>1603.6780521348885</v>
      </c>
      <c r="J8" s="26">
        <f>(B8-G8)^2/G8</f>
        <v>4.7582479705936525</v>
      </c>
      <c r="K8" s="26">
        <f>(C8-H8)^2/H8</f>
        <v>18.809302623561685</v>
      </c>
    </row>
    <row r="9" spans="1:12" x14ac:dyDescent="0.3">
      <c r="A9" s="27" t="s">
        <v>110</v>
      </c>
      <c r="B9" s="28">
        <f>SUM(B7:B8)</f>
        <v>88207</v>
      </c>
      <c r="C9" s="28">
        <f>SUM(C7:C8)</f>
        <v>22314</v>
      </c>
      <c r="D9" s="28">
        <f>SUM(D7:D8)</f>
        <v>110521</v>
      </c>
      <c r="E9" s="29">
        <f>C9/D9</f>
        <v>0.20189828177450439</v>
      </c>
      <c r="G9" s="30">
        <f>SUM(G7:G8)</f>
        <v>88207</v>
      </c>
      <c r="H9" s="30">
        <f>SUM(H7:H8)</f>
        <v>22314</v>
      </c>
      <c r="J9" s="31">
        <f>SUM(J7:J8)</f>
        <v>5.1266969911479991</v>
      </c>
      <c r="K9" s="31">
        <f>SUM(K7:K8)</f>
        <v>20.26577760590634</v>
      </c>
    </row>
    <row r="11" spans="1:12" x14ac:dyDescent="0.3">
      <c r="A11" s="18" t="s">
        <v>122</v>
      </c>
    </row>
    <row r="12" spans="1:12" ht="30" customHeight="1" x14ac:dyDescent="0.3">
      <c r="A12" s="9" t="s">
        <v>123</v>
      </c>
      <c r="B12" s="9" t="s">
        <v>124</v>
      </c>
      <c r="C12" s="9" t="s">
        <v>125</v>
      </c>
      <c r="D12" s="9" t="s">
        <v>126</v>
      </c>
    </row>
    <row r="13" spans="1:12" x14ac:dyDescent="0.3">
      <c r="A13" s="14" t="s">
        <v>75</v>
      </c>
      <c r="B13" s="32">
        <f>SUM(J7:K8)</f>
        <v>25.392474597054338</v>
      </c>
      <c r="C13" s="14" t="s">
        <v>127</v>
      </c>
      <c r="D13" s="33" t="str">
        <f>IF(B13&gt;B15,"Yes","No")</f>
        <v>Yes</v>
      </c>
    </row>
    <row r="14" spans="1:12" x14ac:dyDescent="0.3">
      <c r="A14" s="14" t="s">
        <v>77</v>
      </c>
      <c r="B14" s="34">
        <f>(2-1)*(2-1)</f>
        <v>1</v>
      </c>
      <c r="C14" s="14" t="s">
        <v>128</v>
      </c>
      <c r="D14" s="33" t="s">
        <v>129</v>
      </c>
    </row>
    <row r="15" spans="1:12" x14ac:dyDescent="0.3">
      <c r="A15" s="14" t="s">
        <v>130</v>
      </c>
      <c r="B15" s="32">
        <f>CHIINV(0.05,B14)</f>
        <v>3.8414588206941236</v>
      </c>
      <c r="C15" s="14"/>
      <c r="D15" s="33" t="s">
        <v>129</v>
      </c>
    </row>
    <row r="16" spans="1:12" x14ac:dyDescent="0.3">
      <c r="A16" s="14" t="s">
        <v>79</v>
      </c>
      <c r="B16" s="35">
        <f>CHITEST(B7:C8,G7:H8)</f>
        <v>4.6773921245031541E-7</v>
      </c>
      <c r="C16" s="14" t="s">
        <v>131</v>
      </c>
      <c r="D16" s="33" t="str">
        <f>IF(B16&lt;0.05,"Yes","No")</f>
        <v>Yes</v>
      </c>
    </row>
    <row r="17" spans="1:11" x14ac:dyDescent="0.3">
      <c r="A17" s="14" t="s">
        <v>81</v>
      </c>
      <c r="B17" s="36">
        <f>SQRT(B13/D9)</f>
        <v>1.5157588423989113E-2</v>
      </c>
      <c r="C17" s="14" t="s">
        <v>132</v>
      </c>
      <c r="D17" s="33" t="s">
        <v>129</v>
      </c>
    </row>
    <row r="18" spans="1:11" x14ac:dyDescent="0.3">
      <c r="A18" s="14" t="s">
        <v>83</v>
      </c>
      <c r="B18" s="37">
        <f>(E8-E7)*100</f>
        <v>-2.3558680139266652</v>
      </c>
      <c r="C18" s="38">
        <v>3</v>
      </c>
      <c r="D18" s="33" t="str">
        <f>IF(ABS(B18)&gt;=C18,"Yes","No")</f>
        <v>No</v>
      </c>
    </row>
    <row r="19" spans="1:11" x14ac:dyDescent="0.3">
      <c r="A19" s="39" t="s">
        <v>11</v>
      </c>
      <c r="B19" s="1" t="str">
        <f>IF(AND(B16&lt;0.05,D18="Yes"),IF(B17&lt;0.05,"Confirmed (weak)","Confirmed"),"Rejected")</f>
        <v>Rejected</v>
      </c>
      <c r="C19" s="1"/>
      <c r="D19" s="1"/>
    </row>
    <row r="21" spans="1:11" x14ac:dyDescent="0.3">
      <c r="A21" s="18" t="s">
        <v>133</v>
      </c>
    </row>
    <row r="22" spans="1:11" ht="48" customHeight="1" x14ac:dyDescent="0.3">
      <c r="A22" s="2" t="s">
        <v>209</v>
      </c>
      <c r="B22" s="2"/>
      <c r="C22" s="2"/>
      <c r="D22" s="2"/>
      <c r="E22" s="2"/>
      <c r="F22" s="2"/>
      <c r="G22" s="2"/>
      <c r="H22" s="2"/>
      <c r="I22" s="2"/>
      <c r="J22" s="2"/>
      <c r="K22" s="2"/>
    </row>
  </sheetData>
  <mergeCells count="2">
    <mergeCell ref="B19:D19"/>
    <mergeCell ref="A22:K22"/>
  </mergeCells>
  <hyperlinks>
    <hyperlink ref="L1" r:id="rId1" location="'Overview'!A1" xr:uid="{00000000-0004-0000-0B00-000000000000}"/>
  </hyperlinks>
  <pageMargins left="0.75" right="0.75" top="1" bottom="1" header="0.511811023622047" footer="0.511811023622047"/>
  <pageSetup fitToHeight="0" orientation="landscape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L22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30" customWidth="1"/>
    <col min="2" max="2" width="12" customWidth="1"/>
    <col min="3" max="3" width="14" customWidth="1"/>
    <col min="4" max="4" width="12" customWidth="1"/>
    <col min="5" max="5" width="14" customWidth="1"/>
    <col min="6" max="6" width="3" customWidth="1"/>
    <col min="7" max="8" width="14" customWidth="1"/>
    <col min="9" max="9" width="3" customWidth="1"/>
    <col min="10" max="11" width="16" customWidth="1"/>
    <col min="12" max="12" width="20" customWidth="1"/>
  </cols>
  <sheetData>
    <row r="1" spans="1:12" ht="21" x14ac:dyDescent="0.4">
      <c r="A1" s="3" t="s">
        <v>210</v>
      </c>
      <c r="L1" s="17" t="s">
        <v>55</v>
      </c>
    </row>
    <row r="2" spans="1:12" x14ac:dyDescent="0.3">
      <c r="A2" s="21" t="s">
        <v>211</v>
      </c>
    </row>
    <row r="3" spans="1:12" x14ac:dyDescent="0.3">
      <c r="A3" s="4" t="s">
        <v>103</v>
      </c>
    </row>
    <row r="5" spans="1:12" x14ac:dyDescent="0.3">
      <c r="A5" s="18" t="s">
        <v>104</v>
      </c>
      <c r="G5" s="18" t="s">
        <v>105</v>
      </c>
      <c r="J5" s="18" t="s">
        <v>106</v>
      </c>
    </row>
    <row r="6" spans="1:12" ht="30" customHeight="1" x14ac:dyDescent="0.3">
      <c r="A6" s="9" t="s">
        <v>201</v>
      </c>
      <c r="B6" s="9" t="s">
        <v>108</v>
      </c>
      <c r="C6" s="9" t="s">
        <v>109</v>
      </c>
      <c r="D6" s="9" t="s">
        <v>110</v>
      </c>
      <c r="E6" s="9" t="s">
        <v>111</v>
      </c>
      <c r="G6" s="9" t="s">
        <v>112</v>
      </c>
      <c r="H6" s="9" t="s">
        <v>113</v>
      </c>
      <c r="J6" s="9" t="s">
        <v>114</v>
      </c>
      <c r="K6" s="9" t="s">
        <v>115</v>
      </c>
    </row>
    <row r="7" spans="1:12" x14ac:dyDescent="0.3">
      <c r="A7" s="14" t="s">
        <v>212</v>
      </c>
      <c r="B7" s="22">
        <v>85524</v>
      </c>
      <c r="C7" s="22">
        <v>21637</v>
      </c>
      <c r="D7" s="23">
        <f>B7+C7</f>
        <v>107161</v>
      </c>
      <c r="E7" s="24">
        <f>C7/D7</f>
        <v>0.20191114304644414</v>
      </c>
      <c r="G7" s="25">
        <f>$D7*B$9/$D$9</f>
        <v>85525.378226762332</v>
      </c>
      <c r="H7" s="25">
        <f>$D7*C$9/$D$9</f>
        <v>21635.621773237664</v>
      </c>
      <c r="J7" s="26">
        <f>(B7-G7)^2/G7</f>
        <v>2.2209887261433927E-5</v>
      </c>
      <c r="K7" s="26">
        <f>(C7-H7)^2/H7</f>
        <v>8.7795443474036257E-5</v>
      </c>
    </row>
    <row r="8" spans="1:12" x14ac:dyDescent="0.3">
      <c r="A8" s="14" t="s">
        <v>213</v>
      </c>
      <c r="B8" s="22">
        <v>2683</v>
      </c>
      <c r="C8" s="22">
        <v>677</v>
      </c>
      <c r="D8" s="23">
        <f>B8+C8</f>
        <v>3360</v>
      </c>
      <c r="E8" s="24">
        <f>C8/D8</f>
        <v>0.20148809523809524</v>
      </c>
      <c r="G8" s="25">
        <f>$D8*B$9/$D$9</f>
        <v>2681.6217732376654</v>
      </c>
      <c r="H8" s="25">
        <f>$D8*C$9/$D$9</f>
        <v>678.37822676233475</v>
      </c>
      <c r="J8" s="26">
        <f>(B8-G8)^2/G8</f>
        <v>7.0834337167617405E-4</v>
      </c>
      <c r="K8" s="26">
        <f>(C8-H8)^2/H8</f>
        <v>2.8000736661042661E-3</v>
      </c>
    </row>
    <row r="9" spans="1:12" x14ac:dyDescent="0.3">
      <c r="A9" s="27" t="s">
        <v>110</v>
      </c>
      <c r="B9" s="28">
        <f>SUM(B7:B8)</f>
        <v>88207</v>
      </c>
      <c r="C9" s="28">
        <f>SUM(C7:C8)</f>
        <v>22314</v>
      </c>
      <c r="D9" s="28">
        <f>SUM(D7:D8)</f>
        <v>110521</v>
      </c>
      <c r="E9" s="29">
        <f>C9/D9</f>
        <v>0.20189828177450439</v>
      </c>
      <c r="G9" s="30">
        <f>SUM(G7:G8)</f>
        <v>88207</v>
      </c>
      <c r="H9" s="30">
        <f>SUM(H7:H8)</f>
        <v>22314</v>
      </c>
      <c r="J9" s="31">
        <f>SUM(J7:J8)</f>
        <v>7.3055325893760801E-4</v>
      </c>
      <c r="K9" s="31">
        <f>SUM(K7:K8)</f>
        <v>2.8878691095783025E-3</v>
      </c>
    </row>
    <row r="11" spans="1:12" x14ac:dyDescent="0.3">
      <c r="A11" s="18" t="s">
        <v>122</v>
      </c>
    </row>
    <row r="12" spans="1:12" ht="30" customHeight="1" x14ac:dyDescent="0.3">
      <c r="A12" s="9" t="s">
        <v>123</v>
      </c>
      <c r="B12" s="9" t="s">
        <v>124</v>
      </c>
      <c r="C12" s="9" t="s">
        <v>125</v>
      </c>
      <c r="D12" s="9" t="s">
        <v>126</v>
      </c>
    </row>
    <row r="13" spans="1:12" x14ac:dyDescent="0.3">
      <c r="A13" s="14" t="s">
        <v>75</v>
      </c>
      <c r="B13" s="32">
        <f>SUM(J7:K8)</f>
        <v>3.6184223685159101E-3</v>
      </c>
      <c r="C13" s="14" t="s">
        <v>127</v>
      </c>
      <c r="D13" s="33" t="str">
        <f>IF(B13&gt;B15,"Yes","No")</f>
        <v>No</v>
      </c>
    </row>
    <row r="14" spans="1:12" x14ac:dyDescent="0.3">
      <c r="A14" s="14" t="s">
        <v>77</v>
      </c>
      <c r="B14" s="34">
        <f>(2-1)*(2-1)</f>
        <v>1</v>
      </c>
      <c r="C14" s="14" t="s">
        <v>128</v>
      </c>
      <c r="D14" s="33" t="s">
        <v>129</v>
      </c>
    </row>
    <row r="15" spans="1:12" x14ac:dyDescent="0.3">
      <c r="A15" s="14" t="s">
        <v>130</v>
      </c>
      <c r="B15" s="32">
        <f>CHIINV(0.05,B14)</f>
        <v>3.8414588206941236</v>
      </c>
      <c r="C15" s="14"/>
      <c r="D15" s="33" t="s">
        <v>129</v>
      </c>
    </row>
    <row r="16" spans="1:12" x14ac:dyDescent="0.3">
      <c r="A16" s="14" t="s">
        <v>79</v>
      </c>
      <c r="B16" s="35">
        <f>CHITEST(B7:C8,G7:H8)</f>
        <v>0.95203352053686219</v>
      </c>
      <c r="C16" s="14" t="s">
        <v>131</v>
      </c>
      <c r="D16" s="33" t="str">
        <f>IF(B16&lt;0.05,"Yes","No")</f>
        <v>No</v>
      </c>
    </row>
    <row r="17" spans="1:11" x14ac:dyDescent="0.3">
      <c r="A17" s="14" t="s">
        <v>81</v>
      </c>
      <c r="B17" s="36">
        <f>SQRT(B13/D9)</f>
        <v>1.8094110026885848E-4</v>
      </c>
      <c r="C17" s="14" t="s">
        <v>132</v>
      </c>
      <c r="D17" s="33" t="s">
        <v>129</v>
      </c>
    </row>
    <row r="18" spans="1:11" x14ac:dyDescent="0.3">
      <c r="A18" s="14" t="s">
        <v>83</v>
      </c>
      <c r="B18" s="37">
        <f>(E8-E7)*100</f>
        <v>-4.2304780834889755E-2</v>
      </c>
      <c r="C18" s="38">
        <v>3</v>
      </c>
      <c r="D18" s="33" t="str">
        <f>IF(ABS(B18)&gt;=C18,"Yes","No")</f>
        <v>No</v>
      </c>
    </row>
    <row r="19" spans="1:11" x14ac:dyDescent="0.3">
      <c r="A19" s="39" t="s">
        <v>11</v>
      </c>
      <c r="B19" s="1" t="str">
        <f>IF(AND(B16&lt;0.05,D18="Yes"),IF(B17&lt;0.05,"Confirmed (weak)","Confirmed"),"Rejected")</f>
        <v>Rejected</v>
      </c>
      <c r="C19" s="1"/>
      <c r="D19" s="1"/>
    </row>
    <row r="21" spans="1:11" x14ac:dyDescent="0.3">
      <c r="A21" s="18" t="s">
        <v>133</v>
      </c>
    </row>
    <row r="22" spans="1:11" ht="48" customHeight="1" x14ac:dyDescent="0.3">
      <c r="A22" s="2" t="s">
        <v>214</v>
      </c>
      <c r="B22" s="2"/>
      <c r="C22" s="2"/>
      <c r="D22" s="2"/>
      <c r="E22" s="2"/>
      <c r="F22" s="2"/>
      <c r="G22" s="2"/>
      <c r="H22" s="2"/>
      <c r="I22" s="2"/>
      <c r="J22" s="2"/>
      <c r="K22" s="2"/>
    </row>
  </sheetData>
  <mergeCells count="2">
    <mergeCell ref="B19:D19"/>
    <mergeCell ref="A22:K22"/>
  </mergeCells>
  <hyperlinks>
    <hyperlink ref="L1" r:id="rId1" location="'Overview'!A1" xr:uid="{00000000-0004-0000-0C00-000000000000}"/>
  </hyperlinks>
  <pageMargins left="0.75" right="0.75" top="1" bottom="1" header="0.511811023622047" footer="0.511811023622047"/>
  <pageSetup fitToHeight="0" orientation="landscape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L22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30" customWidth="1"/>
    <col min="2" max="2" width="12" customWidth="1"/>
    <col min="3" max="3" width="14" customWidth="1"/>
    <col min="4" max="4" width="12" customWidth="1"/>
    <col min="5" max="5" width="14" customWidth="1"/>
    <col min="6" max="6" width="3" customWidth="1"/>
    <col min="7" max="8" width="14" customWidth="1"/>
    <col min="9" max="9" width="3" customWidth="1"/>
    <col min="10" max="11" width="16" customWidth="1"/>
    <col min="12" max="12" width="20" customWidth="1"/>
  </cols>
  <sheetData>
    <row r="1" spans="1:12" ht="21" x14ac:dyDescent="0.4">
      <c r="A1" s="3" t="s">
        <v>215</v>
      </c>
      <c r="L1" s="17" t="s">
        <v>55</v>
      </c>
    </row>
    <row r="2" spans="1:12" x14ac:dyDescent="0.3">
      <c r="A2" s="21" t="s">
        <v>216</v>
      </c>
    </row>
    <row r="3" spans="1:12" x14ac:dyDescent="0.3">
      <c r="A3" s="4" t="s">
        <v>103</v>
      </c>
    </row>
    <row r="5" spans="1:12" x14ac:dyDescent="0.3">
      <c r="A5" s="18" t="s">
        <v>104</v>
      </c>
      <c r="G5" s="18" t="s">
        <v>105</v>
      </c>
      <c r="J5" s="18" t="s">
        <v>106</v>
      </c>
    </row>
    <row r="6" spans="1:12" ht="30" customHeight="1" x14ac:dyDescent="0.3">
      <c r="A6" s="9" t="s">
        <v>201</v>
      </c>
      <c r="B6" s="9" t="s">
        <v>108</v>
      </c>
      <c r="C6" s="9" t="s">
        <v>109</v>
      </c>
      <c r="D6" s="9" t="s">
        <v>110</v>
      </c>
      <c r="E6" s="9" t="s">
        <v>111</v>
      </c>
      <c r="G6" s="9" t="s">
        <v>112</v>
      </c>
      <c r="H6" s="9" t="s">
        <v>113</v>
      </c>
      <c r="J6" s="9" t="s">
        <v>114</v>
      </c>
      <c r="K6" s="9" t="s">
        <v>115</v>
      </c>
    </row>
    <row r="7" spans="1:12" x14ac:dyDescent="0.3">
      <c r="A7" s="14" t="s">
        <v>217</v>
      </c>
      <c r="B7" s="22">
        <v>86373</v>
      </c>
      <c r="C7" s="22">
        <v>21909</v>
      </c>
      <c r="D7" s="23">
        <f>B7+C7</f>
        <v>108282</v>
      </c>
      <c r="E7" s="24">
        <f>C7/D7</f>
        <v>0.20233279769490775</v>
      </c>
      <c r="G7" s="25">
        <f>$D7*B$9/$D$9</f>
        <v>86420.05025289311</v>
      </c>
      <c r="H7" s="25">
        <f>$D7*C$9/$D$9</f>
        <v>21861.949747106886</v>
      </c>
      <c r="J7" s="26">
        <f>(B7-G7)^2/G7</f>
        <v>2.5615887642133264E-2</v>
      </c>
      <c r="K7" s="26">
        <f>(C7-H7)^2/H7</f>
        <v>0.10125932603970593</v>
      </c>
    </row>
    <row r="8" spans="1:12" x14ac:dyDescent="0.3">
      <c r="A8" s="14" t="s">
        <v>218</v>
      </c>
      <c r="B8" s="22">
        <v>1834</v>
      </c>
      <c r="C8" s="22">
        <v>405</v>
      </c>
      <c r="D8" s="23">
        <f>B8+C8</f>
        <v>2239</v>
      </c>
      <c r="E8" s="24">
        <f>C8/D8</f>
        <v>0.18088432335864224</v>
      </c>
      <c r="G8" s="25">
        <f>$D8*B$9/$D$9</f>
        <v>1786.9497471068846</v>
      </c>
      <c r="H8" s="25">
        <f>$D8*C$9/$D$9</f>
        <v>452.05025289311533</v>
      </c>
      <c r="J8" s="26">
        <f>(B8-G8)^2/G8</f>
        <v>1.2388296318294285</v>
      </c>
      <c r="K8" s="26">
        <f>(C8-H8)^2/H8</f>
        <v>4.8970800992550938</v>
      </c>
    </row>
    <row r="9" spans="1:12" x14ac:dyDescent="0.3">
      <c r="A9" s="27" t="s">
        <v>110</v>
      </c>
      <c r="B9" s="28">
        <f>SUM(B7:B8)</f>
        <v>88207</v>
      </c>
      <c r="C9" s="28">
        <f>SUM(C7:C8)</f>
        <v>22314</v>
      </c>
      <c r="D9" s="28">
        <f>SUM(D7:D8)</f>
        <v>110521</v>
      </c>
      <c r="E9" s="29">
        <f>C9/D9</f>
        <v>0.20189828177450439</v>
      </c>
      <c r="G9" s="30">
        <f>SUM(G7:G8)</f>
        <v>88207</v>
      </c>
      <c r="H9" s="30">
        <f>SUM(H7:H8)</f>
        <v>22314</v>
      </c>
      <c r="J9" s="31">
        <f>SUM(J7:J8)</f>
        <v>1.2644455194715618</v>
      </c>
      <c r="K9" s="31">
        <f>SUM(K7:K8)</f>
        <v>4.9983394252947999</v>
      </c>
    </row>
    <row r="11" spans="1:12" x14ac:dyDescent="0.3">
      <c r="A11" s="18" t="s">
        <v>122</v>
      </c>
    </row>
    <row r="12" spans="1:12" ht="30" customHeight="1" x14ac:dyDescent="0.3">
      <c r="A12" s="9" t="s">
        <v>123</v>
      </c>
      <c r="B12" s="9" t="s">
        <v>124</v>
      </c>
      <c r="C12" s="9" t="s">
        <v>125</v>
      </c>
      <c r="D12" s="9" t="s">
        <v>126</v>
      </c>
    </row>
    <row r="13" spans="1:12" x14ac:dyDescent="0.3">
      <c r="A13" s="14" t="s">
        <v>75</v>
      </c>
      <c r="B13" s="32">
        <f>SUM(J7:K8)</f>
        <v>6.2627849447663611</v>
      </c>
      <c r="C13" s="14" t="s">
        <v>127</v>
      </c>
      <c r="D13" s="33" t="str">
        <f>IF(B13&gt;B15,"Yes","No")</f>
        <v>Yes</v>
      </c>
    </row>
    <row r="14" spans="1:12" x14ac:dyDescent="0.3">
      <c r="A14" s="14" t="s">
        <v>77</v>
      </c>
      <c r="B14" s="34">
        <f>(2-1)*(2-1)</f>
        <v>1</v>
      </c>
      <c r="C14" s="14" t="s">
        <v>128</v>
      </c>
      <c r="D14" s="33" t="s">
        <v>129</v>
      </c>
    </row>
    <row r="15" spans="1:12" x14ac:dyDescent="0.3">
      <c r="A15" s="14" t="s">
        <v>130</v>
      </c>
      <c r="B15" s="32">
        <f>CHIINV(0.05,B14)</f>
        <v>3.8414588206941236</v>
      </c>
      <c r="C15" s="14"/>
      <c r="D15" s="33" t="s">
        <v>129</v>
      </c>
    </row>
    <row r="16" spans="1:12" x14ac:dyDescent="0.3">
      <c r="A16" s="14" t="s">
        <v>79</v>
      </c>
      <c r="B16" s="35">
        <f>CHITEST(B7:C8,G7:H8)</f>
        <v>1.2330022808937793E-2</v>
      </c>
      <c r="C16" s="14" t="s">
        <v>131</v>
      </c>
      <c r="D16" s="33" t="str">
        <f>IF(B16&lt;0.05,"Yes","No")</f>
        <v>Yes</v>
      </c>
    </row>
    <row r="17" spans="1:11" x14ac:dyDescent="0.3">
      <c r="A17" s="14" t="s">
        <v>81</v>
      </c>
      <c r="B17" s="36">
        <f>SQRT(B13/D9)</f>
        <v>7.5276834234061828E-3</v>
      </c>
      <c r="C17" s="14" t="s">
        <v>132</v>
      </c>
      <c r="D17" s="33" t="s">
        <v>129</v>
      </c>
    </row>
    <row r="18" spans="1:11" x14ac:dyDescent="0.3">
      <c r="A18" s="14" t="s">
        <v>83</v>
      </c>
      <c r="B18" s="37">
        <f>(E8-E7)*100</f>
        <v>-2.1448474336265511</v>
      </c>
      <c r="C18" s="38">
        <v>3</v>
      </c>
      <c r="D18" s="33" t="str">
        <f>IF(ABS(B18)&gt;=C18,"Yes","No")</f>
        <v>No</v>
      </c>
    </row>
    <row r="19" spans="1:11" x14ac:dyDescent="0.3">
      <c r="A19" s="39" t="s">
        <v>11</v>
      </c>
      <c r="B19" s="1" t="str">
        <f>IF(AND(B16&lt;0.05,D18="Yes"),IF(B17&lt;0.05,"Confirmed (weak)","Confirmed"),"Rejected")</f>
        <v>Rejected</v>
      </c>
      <c r="C19" s="1"/>
      <c r="D19" s="1"/>
    </row>
    <row r="21" spans="1:11" x14ac:dyDescent="0.3">
      <c r="A21" s="18" t="s">
        <v>133</v>
      </c>
    </row>
    <row r="22" spans="1:11" ht="48" customHeight="1" x14ac:dyDescent="0.3">
      <c r="A22" s="2" t="s">
        <v>219</v>
      </c>
      <c r="B22" s="2"/>
      <c r="C22" s="2"/>
      <c r="D22" s="2"/>
      <c r="E22" s="2"/>
      <c r="F22" s="2"/>
      <c r="G22" s="2"/>
      <c r="H22" s="2"/>
      <c r="I22" s="2"/>
      <c r="J22" s="2"/>
      <c r="K22" s="2"/>
    </row>
  </sheetData>
  <mergeCells count="2">
    <mergeCell ref="B19:D19"/>
    <mergeCell ref="A22:K22"/>
  </mergeCells>
  <hyperlinks>
    <hyperlink ref="L1" r:id="rId1" location="'Overview'!A1" xr:uid="{00000000-0004-0000-0D00-000000000000}"/>
  </hyperlinks>
  <pageMargins left="0.75" right="0.75" top="1" bottom="1" header="0.511811023622047" footer="0.511811023622047"/>
  <pageSetup fitToHeight="0" orientation="landscape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L23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30" customWidth="1"/>
    <col min="2" max="2" width="12" customWidth="1"/>
    <col min="3" max="3" width="14" customWidth="1"/>
    <col min="4" max="4" width="12" customWidth="1"/>
    <col min="5" max="5" width="14" customWidth="1"/>
    <col min="6" max="6" width="3" customWidth="1"/>
    <col min="7" max="8" width="14" customWidth="1"/>
    <col min="9" max="9" width="3" customWidth="1"/>
    <col min="10" max="11" width="16" customWidth="1"/>
    <col min="12" max="12" width="20" customWidth="1"/>
  </cols>
  <sheetData>
    <row r="1" spans="1:12" ht="21" x14ac:dyDescent="0.4">
      <c r="A1" s="3" t="s">
        <v>220</v>
      </c>
      <c r="L1" s="17" t="s">
        <v>55</v>
      </c>
    </row>
    <row r="2" spans="1:12" x14ac:dyDescent="0.3">
      <c r="A2" s="21" t="s">
        <v>221</v>
      </c>
    </row>
    <row r="3" spans="1:12" x14ac:dyDescent="0.3">
      <c r="A3" s="4" t="s">
        <v>103</v>
      </c>
    </row>
    <row r="5" spans="1:12" x14ac:dyDescent="0.3">
      <c r="A5" s="18" t="s">
        <v>104</v>
      </c>
      <c r="G5" s="18" t="s">
        <v>105</v>
      </c>
      <c r="J5" s="18" t="s">
        <v>106</v>
      </c>
    </row>
    <row r="6" spans="1:12" ht="30" customHeight="1" x14ac:dyDescent="0.3">
      <c r="A6" s="9" t="s">
        <v>222</v>
      </c>
      <c r="B6" s="9" t="s">
        <v>108</v>
      </c>
      <c r="C6" s="9" t="s">
        <v>109</v>
      </c>
      <c r="D6" s="9" t="s">
        <v>110</v>
      </c>
      <c r="E6" s="9" t="s">
        <v>111</v>
      </c>
      <c r="G6" s="9" t="s">
        <v>112</v>
      </c>
      <c r="H6" s="9" t="s">
        <v>113</v>
      </c>
      <c r="J6" s="9" t="s">
        <v>114</v>
      </c>
      <c r="K6" s="9" t="s">
        <v>115</v>
      </c>
    </row>
    <row r="7" spans="1:12" x14ac:dyDescent="0.3">
      <c r="A7" s="14" t="s">
        <v>223</v>
      </c>
      <c r="B7" s="22">
        <v>53444</v>
      </c>
      <c r="C7" s="22">
        <v>12844</v>
      </c>
      <c r="D7" s="23">
        <f>B7+C7</f>
        <v>66288</v>
      </c>
      <c r="E7" s="24">
        <f>C7/D7</f>
        <v>0.19376055998069033</v>
      </c>
      <c r="G7" s="25">
        <f t="shared" ref="G7:H9" si="0">$D7*B$10/$D$10</f>
        <v>52904.56669773165</v>
      </c>
      <c r="H7" s="25">
        <f t="shared" si="0"/>
        <v>13383.433302268348</v>
      </c>
      <c r="J7" s="26">
        <f t="shared" ref="J7:K9" si="1">(B7-G7)^2/G7</f>
        <v>5.5002489531515808</v>
      </c>
      <c r="K7" s="26">
        <f t="shared" si="1"/>
        <v>21.742424460457034</v>
      </c>
    </row>
    <row r="8" spans="1:12" x14ac:dyDescent="0.3">
      <c r="A8" s="14" t="s">
        <v>224</v>
      </c>
      <c r="B8" s="22">
        <v>24442</v>
      </c>
      <c r="C8" s="22">
        <v>5677</v>
      </c>
      <c r="D8" s="23">
        <f>B8+C8</f>
        <v>30119</v>
      </c>
      <c r="E8" s="24">
        <f>C8/D8</f>
        <v>0.18848567349513595</v>
      </c>
      <c r="G8" s="25">
        <f t="shared" si="0"/>
        <v>24038.025651233704</v>
      </c>
      <c r="H8" s="25">
        <f t="shared" si="0"/>
        <v>6080.9743487662981</v>
      </c>
      <c r="J8" s="26">
        <f t="shared" si="1"/>
        <v>6.7890465227445809</v>
      </c>
      <c r="K8" s="26">
        <f t="shared" si="1"/>
        <v>26.837027275779182</v>
      </c>
    </row>
    <row r="9" spans="1:12" x14ac:dyDescent="0.3">
      <c r="A9" s="14" t="s">
        <v>225</v>
      </c>
      <c r="B9" s="22">
        <v>10321</v>
      </c>
      <c r="C9" s="22">
        <v>3793</v>
      </c>
      <c r="D9" s="23">
        <f>B9+C9</f>
        <v>14114</v>
      </c>
      <c r="E9" s="24">
        <f>C9/D9</f>
        <v>0.26874025789995748</v>
      </c>
      <c r="G9" s="25">
        <f t="shared" si="0"/>
        <v>11264.407651034646</v>
      </c>
      <c r="H9" s="25">
        <f t="shared" si="0"/>
        <v>2849.5923489653551</v>
      </c>
      <c r="J9" s="26">
        <f t="shared" si="1"/>
        <v>79.011522274671862</v>
      </c>
      <c r="K9" s="26">
        <f t="shared" si="1"/>
        <v>312.33169065528222</v>
      </c>
    </row>
    <row r="10" spans="1:12" x14ac:dyDescent="0.3">
      <c r="A10" s="27" t="s">
        <v>110</v>
      </c>
      <c r="B10" s="28">
        <f>SUM(B7:B9)</f>
        <v>88207</v>
      </c>
      <c r="C10" s="28">
        <f>SUM(C7:C9)</f>
        <v>22314</v>
      </c>
      <c r="D10" s="28">
        <f>SUM(D7:D9)</f>
        <v>110521</v>
      </c>
      <c r="E10" s="29">
        <f>C10/D10</f>
        <v>0.20189828177450439</v>
      </c>
      <c r="G10" s="30">
        <f>SUM(G7:G9)</f>
        <v>88207</v>
      </c>
      <c r="H10" s="30">
        <f>SUM(H7:H9)</f>
        <v>22314</v>
      </c>
      <c r="J10" s="31">
        <f>SUM(J7:J9)</f>
        <v>91.300817750568029</v>
      </c>
      <c r="K10" s="31">
        <f>SUM(K7:K9)</f>
        <v>360.91114239151841</v>
      </c>
    </row>
    <row r="12" spans="1:12" x14ac:dyDescent="0.3">
      <c r="A12" s="18" t="s">
        <v>122</v>
      </c>
    </row>
    <row r="13" spans="1:12" ht="30" customHeight="1" x14ac:dyDescent="0.3">
      <c r="A13" s="9" t="s">
        <v>123</v>
      </c>
      <c r="B13" s="9" t="s">
        <v>124</v>
      </c>
      <c r="C13" s="9" t="s">
        <v>125</v>
      </c>
      <c r="D13" s="9" t="s">
        <v>126</v>
      </c>
    </row>
    <row r="14" spans="1:12" x14ac:dyDescent="0.3">
      <c r="A14" s="14" t="s">
        <v>75</v>
      </c>
      <c r="B14" s="32">
        <f>SUM(J7:K9)</f>
        <v>452.21196014208647</v>
      </c>
      <c r="C14" s="14" t="s">
        <v>127</v>
      </c>
      <c r="D14" s="33" t="str">
        <f>IF(B14&gt;B16,"Yes","No")</f>
        <v>Yes</v>
      </c>
    </row>
    <row r="15" spans="1:12" x14ac:dyDescent="0.3">
      <c r="A15" s="14" t="s">
        <v>77</v>
      </c>
      <c r="B15" s="34">
        <f>(3-1)*(2-1)</f>
        <v>2</v>
      </c>
      <c r="C15" s="14" t="s">
        <v>128</v>
      </c>
      <c r="D15" s="33" t="s">
        <v>129</v>
      </c>
    </row>
    <row r="16" spans="1:12" x14ac:dyDescent="0.3">
      <c r="A16" s="14" t="s">
        <v>130</v>
      </c>
      <c r="B16" s="32">
        <f>CHIINV(0.05,B15)</f>
        <v>5.9914645471079817</v>
      </c>
      <c r="C16" s="14"/>
      <c r="D16" s="33" t="s">
        <v>129</v>
      </c>
    </row>
    <row r="17" spans="1:11" x14ac:dyDescent="0.3">
      <c r="A17" s="14" t="s">
        <v>79</v>
      </c>
      <c r="B17" s="35">
        <f>CHITEST(B7:C9,G7:H9)</f>
        <v>6.3594642435439498E-99</v>
      </c>
      <c r="C17" s="14" t="s">
        <v>131</v>
      </c>
      <c r="D17" s="33" t="str">
        <f>IF(B17&lt;0.05,"Yes","No")</f>
        <v>Yes</v>
      </c>
    </row>
    <row r="18" spans="1:11" x14ac:dyDescent="0.3">
      <c r="A18" s="14" t="s">
        <v>81</v>
      </c>
      <c r="B18" s="36">
        <f>SQRT(B14/D10)</f>
        <v>6.3965915396111434E-2</v>
      </c>
      <c r="C18" s="14" t="s">
        <v>132</v>
      </c>
      <c r="D18" s="33" t="s">
        <v>129</v>
      </c>
    </row>
    <row r="19" spans="1:11" x14ac:dyDescent="0.3">
      <c r="A19" s="14" t="s">
        <v>83</v>
      </c>
      <c r="B19" s="37">
        <f>(MAX(E7:E9)-MIN(E7:E9))*100</f>
        <v>8.0254584404821525</v>
      </c>
      <c r="C19" s="38">
        <v>3</v>
      </c>
      <c r="D19" s="33" t="str">
        <f>IF(ABS(B19)&gt;=C19,"Yes","No")</f>
        <v>Yes</v>
      </c>
    </row>
    <row r="20" spans="1:11" x14ac:dyDescent="0.3">
      <c r="A20" s="39" t="s">
        <v>11</v>
      </c>
      <c r="B20" s="1" t="str">
        <f>IF(AND(B17&lt;0.05,D19="Yes"),IF(B18&lt;0.05,"Confirmed (weak)","Confirmed"),"Rejected")</f>
        <v>Confirmed</v>
      </c>
      <c r="C20" s="1"/>
      <c r="D20" s="1"/>
    </row>
    <row r="22" spans="1:11" x14ac:dyDescent="0.3">
      <c r="A22" s="18" t="s">
        <v>133</v>
      </c>
    </row>
    <row r="23" spans="1:11" ht="48" customHeight="1" x14ac:dyDescent="0.3">
      <c r="A23" s="2" t="s">
        <v>226</v>
      </c>
      <c r="B23" s="2"/>
      <c r="C23" s="2"/>
      <c r="D23" s="2"/>
      <c r="E23" s="2"/>
      <c r="F23" s="2"/>
      <c r="G23" s="2"/>
      <c r="H23" s="2"/>
      <c r="I23" s="2"/>
      <c r="J23" s="2"/>
      <c r="K23" s="2"/>
    </row>
  </sheetData>
  <mergeCells count="2">
    <mergeCell ref="B20:D20"/>
    <mergeCell ref="A23:K23"/>
  </mergeCells>
  <hyperlinks>
    <hyperlink ref="L1" r:id="rId1" location="'Overview'!A1" xr:uid="{00000000-0004-0000-0E00-000000000000}"/>
  </hyperlinks>
  <pageMargins left="0.75" right="0.75" top="1" bottom="1" header="0.511811023622047" footer="0.511811023622047"/>
  <pageSetup fitToHeight="0" orientation="landscape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M108"/>
  <sheetViews>
    <sheetView showGridLines="0" zoomScaleNormal="100" workbookViewId="0">
      <pane ySplit="6" topLeftCell="A7" activePane="bottomLeft" state="frozen"/>
      <selection pane="bottomLeft"/>
    </sheetView>
  </sheetViews>
  <sheetFormatPr defaultColWidth="8.6640625" defaultRowHeight="14.4" x14ac:dyDescent="0.3"/>
  <cols>
    <col min="1" max="1" width="26" customWidth="1"/>
    <col min="2" max="4" width="10" customWidth="1"/>
    <col min="5" max="6" width="12" customWidth="1"/>
    <col min="7" max="7" width="13" customWidth="1"/>
    <col min="8" max="8" width="3" customWidth="1"/>
    <col min="9" max="10" width="13" customWidth="1"/>
    <col min="11" max="11" width="3" customWidth="1"/>
    <col min="12" max="13" width="13" customWidth="1"/>
  </cols>
  <sheetData>
    <row r="1" spans="1:13" ht="21" x14ac:dyDescent="0.4">
      <c r="A1" s="3" t="s">
        <v>227</v>
      </c>
      <c r="L1" s="17" t="s">
        <v>55</v>
      </c>
    </row>
    <row r="2" spans="1:13" x14ac:dyDescent="0.3">
      <c r="A2" s="21" t="s">
        <v>228</v>
      </c>
    </row>
    <row r="3" spans="1:13" x14ac:dyDescent="0.3">
      <c r="A3" s="4" t="s">
        <v>229</v>
      </c>
    </row>
    <row r="5" spans="1:13" x14ac:dyDescent="0.3">
      <c r="A5" s="18" t="s">
        <v>230</v>
      </c>
      <c r="I5" s="18" t="s">
        <v>231</v>
      </c>
      <c r="L5" s="18" t="s">
        <v>232</v>
      </c>
    </row>
    <row r="6" spans="1:13" ht="30" customHeight="1" x14ac:dyDescent="0.3">
      <c r="A6" s="9" t="s">
        <v>233</v>
      </c>
      <c r="B6" s="9" t="s">
        <v>108</v>
      </c>
      <c r="C6" s="9" t="s">
        <v>109</v>
      </c>
      <c r="D6" s="9" t="s">
        <v>110</v>
      </c>
      <c r="E6" s="9" t="s">
        <v>111</v>
      </c>
      <c r="F6" s="9" t="s">
        <v>234</v>
      </c>
      <c r="G6" s="9" t="s">
        <v>235</v>
      </c>
      <c r="I6" s="9" t="s">
        <v>112</v>
      </c>
      <c r="J6" s="9" t="s">
        <v>113</v>
      </c>
      <c r="L6" s="9" t="s">
        <v>114</v>
      </c>
      <c r="M6" s="9" t="s">
        <v>115</v>
      </c>
    </row>
    <row r="7" spans="1:13" x14ac:dyDescent="0.3">
      <c r="A7" s="14" t="s">
        <v>236</v>
      </c>
      <c r="B7" s="22">
        <v>907</v>
      </c>
      <c r="C7" s="22">
        <v>369</v>
      </c>
      <c r="D7" s="23">
        <f t="shared" ref="D7:D38" si="0">B7+C7</f>
        <v>1276</v>
      </c>
      <c r="E7" s="24">
        <f t="shared" ref="E7:E38" si="1">C7/D7</f>
        <v>0.28918495297805641</v>
      </c>
      <c r="F7" s="46">
        <f t="shared" ref="F7:F38" si="2">(E7-$E$76)*100</f>
        <v>8.7294800944088458</v>
      </c>
      <c r="G7" s="47" t="str">
        <f t="shared" ref="G7:G38" si="3">IF(F7&gt;=$C$85,"Above","")</f>
        <v>Above</v>
      </c>
      <c r="I7" s="25">
        <f t="shared" ref="I7:I38" si="4">$D7*B$76/$D$76</f>
        <v>1018.3881660046569</v>
      </c>
      <c r="J7" s="25">
        <f t="shared" ref="J7:J38" si="5">$D7*C$76/$D$76</f>
        <v>257.61183399534309</v>
      </c>
      <c r="L7" s="26">
        <f t="shared" ref="L7:L38" si="6">(B7-I7)^2/I7</f>
        <v>12.183295073584221</v>
      </c>
      <c r="M7" s="26">
        <f t="shared" ref="M7:M38" si="7">(C7-J7)^2/J7</f>
        <v>48.162863225084976</v>
      </c>
    </row>
    <row r="8" spans="1:13" x14ac:dyDescent="0.3">
      <c r="A8" s="14" t="s">
        <v>237</v>
      </c>
      <c r="B8" s="22">
        <v>325</v>
      </c>
      <c r="C8" s="22">
        <v>123</v>
      </c>
      <c r="D8" s="23">
        <f t="shared" si="0"/>
        <v>448</v>
      </c>
      <c r="E8" s="24">
        <f t="shared" si="1"/>
        <v>0.27455357142857145</v>
      </c>
      <c r="F8" s="46">
        <f t="shared" si="2"/>
        <v>7.2663419394603492</v>
      </c>
      <c r="G8" s="47" t="str">
        <f t="shared" si="3"/>
        <v>Above</v>
      </c>
      <c r="I8" s="25">
        <f t="shared" si="4"/>
        <v>357.55321188878236</v>
      </c>
      <c r="J8" s="25">
        <f t="shared" si="5"/>
        <v>90.446788111217643</v>
      </c>
      <c r="L8" s="26">
        <f t="shared" si="6"/>
        <v>2.9637871204624684</v>
      </c>
      <c r="M8" s="26">
        <f t="shared" si="7"/>
        <v>11.716409464677612</v>
      </c>
    </row>
    <row r="9" spans="1:13" x14ac:dyDescent="0.3">
      <c r="A9" s="14" t="s">
        <v>238</v>
      </c>
      <c r="B9" s="22">
        <v>372</v>
      </c>
      <c r="C9" s="22">
        <v>134</v>
      </c>
      <c r="D9" s="23">
        <f t="shared" si="0"/>
        <v>506</v>
      </c>
      <c r="E9" s="24">
        <f t="shared" si="1"/>
        <v>0.2648221343873518</v>
      </c>
      <c r="F9" s="46">
        <f t="shared" si="2"/>
        <v>6.2931982353383846</v>
      </c>
      <c r="G9" s="47" t="str">
        <f t="shared" si="3"/>
        <v>Above</v>
      </c>
      <c r="I9" s="25">
        <f t="shared" si="4"/>
        <v>403.8435830708122</v>
      </c>
      <c r="J9" s="25">
        <f t="shared" si="5"/>
        <v>102.15641692918778</v>
      </c>
      <c r="L9" s="26">
        <f t="shared" si="6"/>
        <v>2.5109072554210043</v>
      </c>
      <c r="M9" s="26">
        <f t="shared" si="7"/>
        <v>9.9260899439200845</v>
      </c>
    </row>
    <row r="10" spans="1:13" x14ac:dyDescent="0.3">
      <c r="A10" s="14" t="s">
        <v>239</v>
      </c>
      <c r="B10" s="22">
        <v>2591</v>
      </c>
      <c r="C10" s="22">
        <v>923</v>
      </c>
      <c r="D10" s="23">
        <f t="shared" si="0"/>
        <v>3514</v>
      </c>
      <c r="E10" s="24">
        <f t="shared" si="1"/>
        <v>0.26266363118952762</v>
      </c>
      <c r="F10" s="46">
        <f t="shared" si="2"/>
        <v>6.0773479155559667</v>
      </c>
      <c r="G10" s="47" t="str">
        <f t="shared" si="3"/>
        <v>Above</v>
      </c>
      <c r="I10" s="25">
        <f t="shared" si="4"/>
        <v>2804.5580057526367</v>
      </c>
      <c r="J10" s="25">
        <f t="shared" si="5"/>
        <v>709.44199424736337</v>
      </c>
      <c r="L10" s="26">
        <f t="shared" si="6"/>
        <v>16.261750239251707</v>
      </c>
      <c r="M10" s="26">
        <f t="shared" si="7"/>
        <v>64.285765701573666</v>
      </c>
    </row>
    <row r="11" spans="1:13" x14ac:dyDescent="0.3">
      <c r="A11" s="14" t="s">
        <v>240</v>
      </c>
      <c r="B11" s="22">
        <v>2157</v>
      </c>
      <c r="C11" s="22">
        <v>696</v>
      </c>
      <c r="D11" s="23">
        <f t="shared" si="0"/>
        <v>2853</v>
      </c>
      <c r="E11" s="24">
        <f t="shared" si="1"/>
        <v>0.24395373291272346</v>
      </c>
      <c r="F11" s="46">
        <f t="shared" si="2"/>
        <v>4.2063580878755502</v>
      </c>
      <c r="G11" s="47" t="str">
        <f t="shared" si="3"/>
        <v>Above</v>
      </c>
      <c r="I11" s="25">
        <f t="shared" si="4"/>
        <v>2277.0073962470892</v>
      </c>
      <c r="J11" s="25">
        <f t="shared" si="5"/>
        <v>575.99260375291055</v>
      </c>
      <c r="L11" s="26">
        <f t="shared" si="6"/>
        <v>6.3248697293397269</v>
      </c>
      <c r="M11" s="26">
        <f t="shared" si="7"/>
        <v>25.003402925958429</v>
      </c>
    </row>
    <row r="12" spans="1:13" x14ac:dyDescent="0.3">
      <c r="A12" s="14" t="s">
        <v>241</v>
      </c>
      <c r="B12" s="22">
        <v>1734</v>
      </c>
      <c r="C12" s="22">
        <v>532</v>
      </c>
      <c r="D12" s="23">
        <f t="shared" si="0"/>
        <v>2266</v>
      </c>
      <c r="E12" s="24">
        <f t="shared" si="1"/>
        <v>0.23477493380406</v>
      </c>
      <c r="F12" s="46">
        <f t="shared" si="2"/>
        <v>3.2884781770092046</v>
      </c>
      <c r="G12" s="47" t="str">
        <f t="shared" si="3"/>
        <v>Above</v>
      </c>
      <c r="I12" s="25">
        <f t="shared" si="4"/>
        <v>1808.5169154910286</v>
      </c>
      <c r="J12" s="25">
        <f t="shared" si="5"/>
        <v>457.48308450897139</v>
      </c>
      <c r="L12" s="26">
        <f t="shared" si="6"/>
        <v>3.0703449034589054</v>
      </c>
      <c r="M12" s="26">
        <f t="shared" si="7"/>
        <v>12.137652477920653</v>
      </c>
    </row>
    <row r="13" spans="1:13" x14ac:dyDescent="0.3">
      <c r="A13" s="14" t="s">
        <v>242</v>
      </c>
      <c r="B13" s="22">
        <v>1974</v>
      </c>
      <c r="C13" s="22">
        <v>591</v>
      </c>
      <c r="D13" s="23">
        <f t="shared" si="0"/>
        <v>2565</v>
      </c>
      <c r="E13" s="24">
        <f t="shared" si="1"/>
        <v>0.2304093567251462</v>
      </c>
      <c r="F13" s="46">
        <f t="shared" si="2"/>
        <v>2.8519204691178244</v>
      </c>
      <c r="G13" s="47" t="str">
        <f t="shared" si="3"/>
        <v/>
      </c>
      <c r="I13" s="25">
        <f t="shared" si="4"/>
        <v>2047.1517600328723</v>
      </c>
      <c r="J13" s="25">
        <f t="shared" si="5"/>
        <v>517.84823996712782</v>
      </c>
      <c r="L13" s="26">
        <f t="shared" si="6"/>
        <v>2.613963507923323</v>
      </c>
      <c r="M13" s="26">
        <f t="shared" si="7"/>
        <v>10.33349074672263</v>
      </c>
    </row>
    <row r="14" spans="1:13" x14ac:dyDescent="0.3">
      <c r="A14" s="14" t="s">
        <v>243</v>
      </c>
      <c r="B14" s="22">
        <v>1741</v>
      </c>
      <c r="C14" s="22">
        <v>521</v>
      </c>
      <c r="D14" s="23">
        <f t="shared" si="0"/>
        <v>2262</v>
      </c>
      <c r="E14" s="24">
        <f t="shared" si="1"/>
        <v>0.23032714412024757</v>
      </c>
      <c r="F14" s="46">
        <f t="shared" si="2"/>
        <v>2.8436992086279615</v>
      </c>
      <c r="G14" s="47" t="str">
        <f t="shared" si="3"/>
        <v/>
      </c>
      <c r="I14" s="25">
        <f t="shared" si="4"/>
        <v>1805.3244760991645</v>
      </c>
      <c r="J14" s="25">
        <f t="shared" si="5"/>
        <v>456.67552390083551</v>
      </c>
      <c r="L14" s="26">
        <f t="shared" si="6"/>
        <v>2.2919083412486274</v>
      </c>
      <c r="M14" s="26">
        <f t="shared" si="7"/>
        <v>9.0603459324665891</v>
      </c>
    </row>
    <row r="15" spans="1:13" x14ac:dyDescent="0.3">
      <c r="A15" s="14" t="s">
        <v>244</v>
      </c>
      <c r="B15" s="22">
        <v>994</v>
      </c>
      <c r="C15" s="22">
        <v>294</v>
      </c>
      <c r="D15" s="23">
        <f t="shared" si="0"/>
        <v>1288</v>
      </c>
      <c r="E15" s="24">
        <f t="shared" si="1"/>
        <v>0.22826086956521738</v>
      </c>
      <c r="F15" s="46">
        <f t="shared" si="2"/>
        <v>2.6370717531249421</v>
      </c>
      <c r="G15" s="47" t="str">
        <f t="shared" si="3"/>
        <v/>
      </c>
      <c r="I15" s="25">
        <f t="shared" si="4"/>
        <v>1027.9654841802492</v>
      </c>
      <c r="J15" s="25">
        <f t="shared" si="5"/>
        <v>260.03451581975071</v>
      </c>
      <c r="L15" s="26">
        <f t="shared" si="6"/>
        <v>1.1222693109377484</v>
      </c>
      <c r="M15" s="26">
        <f t="shared" si="7"/>
        <v>4.4365422488699471</v>
      </c>
    </row>
    <row r="16" spans="1:13" x14ac:dyDescent="0.3">
      <c r="A16" s="14" t="s">
        <v>245</v>
      </c>
      <c r="B16" s="22">
        <v>1562</v>
      </c>
      <c r="C16" s="22">
        <v>456</v>
      </c>
      <c r="D16" s="23">
        <f t="shared" si="0"/>
        <v>2018</v>
      </c>
      <c r="E16" s="24">
        <f t="shared" si="1"/>
        <v>0.22596630327056491</v>
      </c>
      <c r="F16" s="46">
        <f t="shared" si="2"/>
        <v>2.4076151236596957</v>
      </c>
      <c r="G16" s="47" t="str">
        <f t="shared" si="3"/>
        <v/>
      </c>
      <c r="I16" s="25">
        <f t="shared" si="4"/>
        <v>1610.5856731954527</v>
      </c>
      <c r="J16" s="25">
        <f t="shared" si="5"/>
        <v>407.41432680454733</v>
      </c>
      <c r="L16" s="26">
        <f t="shared" si="6"/>
        <v>1.46565791509364</v>
      </c>
      <c r="M16" s="26">
        <f t="shared" si="7"/>
        <v>5.7940221650275578</v>
      </c>
    </row>
    <row r="17" spans="1:13" x14ac:dyDescent="0.3">
      <c r="A17" s="14" t="s">
        <v>246</v>
      </c>
      <c r="B17" s="22">
        <v>665</v>
      </c>
      <c r="C17" s="22">
        <v>193</v>
      </c>
      <c r="D17" s="23">
        <f t="shared" si="0"/>
        <v>858</v>
      </c>
      <c r="E17" s="24">
        <f t="shared" si="1"/>
        <v>0.22494172494172493</v>
      </c>
      <c r="F17" s="46">
        <f t="shared" si="2"/>
        <v>2.3051572907756972</v>
      </c>
      <c r="G17" s="47" t="str">
        <f t="shared" si="3"/>
        <v/>
      </c>
      <c r="I17" s="25">
        <f t="shared" si="4"/>
        <v>684.77824955485551</v>
      </c>
      <c r="J17" s="25">
        <f t="shared" si="5"/>
        <v>173.22175044514449</v>
      </c>
      <c r="L17" s="26">
        <f t="shared" si="6"/>
        <v>0.57124938724095065</v>
      </c>
      <c r="M17" s="26">
        <f t="shared" si="7"/>
        <v>2.2582565667930936</v>
      </c>
    </row>
    <row r="18" spans="1:13" x14ac:dyDescent="0.3">
      <c r="A18" s="14" t="s">
        <v>247</v>
      </c>
      <c r="B18" s="22">
        <v>623</v>
      </c>
      <c r="C18" s="22">
        <v>179</v>
      </c>
      <c r="D18" s="23">
        <f t="shared" si="0"/>
        <v>802</v>
      </c>
      <c r="E18" s="24">
        <f t="shared" si="1"/>
        <v>0.22319201995012469</v>
      </c>
      <c r="F18" s="46">
        <f t="shared" si="2"/>
        <v>2.1301867916156736</v>
      </c>
      <c r="G18" s="47" t="str">
        <f t="shared" si="3"/>
        <v/>
      </c>
      <c r="I18" s="25">
        <f t="shared" si="4"/>
        <v>640.08409806875773</v>
      </c>
      <c r="J18" s="25">
        <f t="shared" si="5"/>
        <v>161.9159019312423</v>
      </c>
      <c r="L18" s="26">
        <f t="shared" si="6"/>
        <v>0.45598134323839934</v>
      </c>
      <c r="M18" s="26">
        <f t="shared" si="7"/>
        <v>1.8025802490163796</v>
      </c>
    </row>
    <row r="19" spans="1:13" x14ac:dyDescent="0.3">
      <c r="A19" s="14" t="s">
        <v>248</v>
      </c>
      <c r="B19" s="22">
        <v>1478</v>
      </c>
      <c r="C19" s="22">
        <v>424</v>
      </c>
      <c r="D19" s="23">
        <f t="shared" si="0"/>
        <v>1902</v>
      </c>
      <c r="E19" s="24">
        <f t="shared" si="1"/>
        <v>0.22292323869610936</v>
      </c>
      <c r="F19" s="46">
        <f t="shared" si="2"/>
        <v>2.1033086662141405</v>
      </c>
      <c r="G19" s="47" t="str">
        <f t="shared" si="3"/>
        <v/>
      </c>
      <c r="I19" s="25">
        <f t="shared" si="4"/>
        <v>1518.004930831393</v>
      </c>
      <c r="J19" s="25">
        <f t="shared" si="5"/>
        <v>383.99506916860702</v>
      </c>
      <c r="L19" s="26">
        <f t="shared" si="6"/>
        <v>1.054274896161256</v>
      </c>
      <c r="M19" s="26">
        <f t="shared" si="7"/>
        <v>4.1677475033457405</v>
      </c>
    </row>
    <row r="20" spans="1:13" x14ac:dyDescent="0.3">
      <c r="A20" s="14" t="s">
        <v>249</v>
      </c>
      <c r="B20" s="22">
        <v>321</v>
      </c>
      <c r="C20" s="22">
        <v>92</v>
      </c>
      <c r="D20" s="23">
        <f t="shared" si="0"/>
        <v>413</v>
      </c>
      <c r="E20" s="24">
        <f t="shared" si="1"/>
        <v>0.22276029055690072</v>
      </c>
      <c r="F20" s="46">
        <f t="shared" si="2"/>
        <v>2.0870138522932762</v>
      </c>
      <c r="G20" s="47" t="str">
        <f t="shared" si="3"/>
        <v/>
      </c>
      <c r="I20" s="25">
        <f t="shared" si="4"/>
        <v>329.61936720997124</v>
      </c>
      <c r="J20" s="25">
        <f t="shared" si="5"/>
        <v>83.38063279002877</v>
      </c>
      <c r="L20" s="26">
        <f t="shared" si="6"/>
        <v>0.22539176544502521</v>
      </c>
      <c r="M20" s="26">
        <f t="shared" si="7"/>
        <v>0.89101615824162661</v>
      </c>
    </row>
    <row r="21" spans="1:13" x14ac:dyDescent="0.3">
      <c r="A21" s="14" t="s">
        <v>250</v>
      </c>
      <c r="B21" s="22">
        <v>183</v>
      </c>
      <c r="C21" s="22">
        <v>52</v>
      </c>
      <c r="D21" s="23">
        <f t="shared" si="0"/>
        <v>235</v>
      </c>
      <c r="E21" s="24">
        <f t="shared" si="1"/>
        <v>0.22127659574468084</v>
      </c>
      <c r="F21" s="46">
        <f t="shared" si="2"/>
        <v>1.938644371071288</v>
      </c>
      <c r="G21" s="47" t="str">
        <f t="shared" si="3"/>
        <v/>
      </c>
      <c r="I21" s="25">
        <f t="shared" si="4"/>
        <v>187.55581427201753</v>
      </c>
      <c r="J21" s="25">
        <f t="shared" si="5"/>
        <v>47.444185727982472</v>
      </c>
      <c r="L21" s="26">
        <f t="shared" si="6"/>
        <v>0.11066275797249556</v>
      </c>
      <c r="M21" s="26">
        <f t="shared" si="7"/>
        <v>0.43747075353170389</v>
      </c>
    </row>
    <row r="22" spans="1:13" x14ac:dyDescent="0.3">
      <c r="A22" s="14" t="s">
        <v>251</v>
      </c>
      <c r="B22" s="22">
        <v>220</v>
      </c>
      <c r="C22" s="22">
        <v>62</v>
      </c>
      <c r="D22" s="23">
        <f t="shared" si="0"/>
        <v>282</v>
      </c>
      <c r="E22" s="24">
        <f t="shared" si="1"/>
        <v>0.21985815602836881</v>
      </c>
      <c r="F22" s="46">
        <f t="shared" si="2"/>
        <v>1.796800399440085</v>
      </c>
      <c r="G22" s="47" t="str">
        <f t="shared" si="3"/>
        <v/>
      </c>
      <c r="I22" s="25">
        <f t="shared" si="4"/>
        <v>225.06697712642105</v>
      </c>
      <c r="J22" s="25">
        <f t="shared" si="5"/>
        <v>56.933022873578963</v>
      </c>
      <c r="L22" s="26">
        <f t="shared" si="6"/>
        <v>0.11407385271475341</v>
      </c>
      <c r="M22" s="26">
        <f t="shared" si="7"/>
        <v>0.4509554543886462</v>
      </c>
    </row>
    <row r="23" spans="1:13" x14ac:dyDescent="0.3">
      <c r="A23" s="14" t="s">
        <v>252</v>
      </c>
      <c r="B23" s="22">
        <v>836</v>
      </c>
      <c r="C23" s="22">
        <v>235</v>
      </c>
      <c r="D23" s="23">
        <f t="shared" si="0"/>
        <v>1071</v>
      </c>
      <c r="E23" s="24">
        <f t="shared" si="1"/>
        <v>0.21942110177404295</v>
      </c>
      <c r="F23" s="46">
        <f t="shared" si="2"/>
        <v>1.753094974007499</v>
      </c>
      <c r="G23" s="47" t="str">
        <f t="shared" si="3"/>
        <v/>
      </c>
      <c r="I23" s="25">
        <f t="shared" si="4"/>
        <v>854.77564717162034</v>
      </c>
      <c r="J23" s="25">
        <f t="shared" si="5"/>
        <v>216.22435282837966</v>
      </c>
      <c r="L23" s="26">
        <f t="shared" si="6"/>
        <v>0.41241807470726333</v>
      </c>
      <c r="M23" s="26">
        <f t="shared" si="7"/>
        <v>1.6303664323739644</v>
      </c>
    </row>
    <row r="24" spans="1:13" x14ac:dyDescent="0.3">
      <c r="A24" s="14" t="s">
        <v>253</v>
      </c>
      <c r="B24" s="22">
        <v>533</v>
      </c>
      <c r="C24" s="22">
        <v>149</v>
      </c>
      <c r="D24" s="23">
        <f t="shared" si="0"/>
        <v>682</v>
      </c>
      <c r="E24" s="24">
        <f t="shared" si="1"/>
        <v>0.21847507331378299</v>
      </c>
      <c r="F24" s="46">
        <f t="shared" si="2"/>
        <v>1.6584921279815035</v>
      </c>
      <c r="G24" s="47" t="str">
        <f t="shared" si="3"/>
        <v/>
      </c>
      <c r="I24" s="25">
        <f t="shared" si="4"/>
        <v>544.31091631283391</v>
      </c>
      <c r="J24" s="25">
        <f t="shared" si="5"/>
        <v>137.68908368716615</v>
      </c>
      <c r="L24" s="26">
        <f t="shared" si="6"/>
        <v>0.23504365611951578</v>
      </c>
      <c r="M24" s="26">
        <f t="shared" si="7"/>
        <v>0.92917190244803582</v>
      </c>
    </row>
    <row r="25" spans="1:13" x14ac:dyDescent="0.3">
      <c r="A25" s="14" t="s">
        <v>254</v>
      </c>
      <c r="B25" s="22">
        <v>1094</v>
      </c>
      <c r="C25" s="22">
        <v>304</v>
      </c>
      <c r="D25" s="23">
        <f t="shared" si="0"/>
        <v>1398</v>
      </c>
      <c r="E25" s="24">
        <f t="shared" si="1"/>
        <v>0.21745350500715308</v>
      </c>
      <c r="F25" s="46">
        <f t="shared" si="2"/>
        <v>1.5563352973185118</v>
      </c>
      <c r="G25" s="47" t="str">
        <f t="shared" si="3"/>
        <v/>
      </c>
      <c r="I25" s="25">
        <f t="shared" si="4"/>
        <v>1115.7575674565128</v>
      </c>
      <c r="J25" s="25">
        <f t="shared" si="5"/>
        <v>282.24243254348721</v>
      </c>
      <c r="L25" s="26">
        <f t="shared" si="6"/>
        <v>0.42427831585659853</v>
      </c>
      <c r="M25" s="26">
        <f t="shared" si="7"/>
        <v>1.6772522025077337</v>
      </c>
    </row>
    <row r="26" spans="1:13" x14ac:dyDescent="0.3">
      <c r="A26" s="14" t="s">
        <v>255</v>
      </c>
      <c r="B26" s="22">
        <v>1549</v>
      </c>
      <c r="C26" s="22">
        <v>428</v>
      </c>
      <c r="D26" s="23">
        <f t="shared" si="0"/>
        <v>1977</v>
      </c>
      <c r="E26" s="24">
        <f t="shared" si="1"/>
        <v>0.21648963075366717</v>
      </c>
      <c r="F26" s="46">
        <f t="shared" si="2"/>
        <v>1.4599478719699217</v>
      </c>
      <c r="G26" s="47" t="str">
        <f t="shared" si="3"/>
        <v/>
      </c>
      <c r="I26" s="25">
        <f t="shared" si="4"/>
        <v>1577.8631694288454</v>
      </c>
      <c r="J26" s="25">
        <f t="shared" si="5"/>
        <v>399.13683057115463</v>
      </c>
      <c r="L26" s="26">
        <f t="shared" si="6"/>
        <v>0.52798149143679729</v>
      </c>
      <c r="M26" s="26">
        <f t="shared" si="7"/>
        <v>2.0872104142484518</v>
      </c>
    </row>
    <row r="27" spans="1:13" x14ac:dyDescent="0.3">
      <c r="A27" s="14" t="s">
        <v>256</v>
      </c>
      <c r="B27" s="22">
        <v>332</v>
      </c>
      <c r="C27" s="22">
        <v>91</v>
      </c>
      <c r="D27" s="23">
        <f t="shared" si="0"/>
        <v>423</v>
      </c>
      <c r="E27" s="24">
        <f t="shared" si="1"/>
        <v>0.21513002364066194</v>
      </c>
      <c r="F27" s="46">
        <f t="shared" si="2"/>
        <v>1.3239871606693987</v>
      </c>
      <c r="G27" s="47" t="str">
        <f t="shared" si="3"/>
        <v/>
      </c>
      <c r="I27" s="25">
        <f t="shared" si="4"/>
        <v>337.60046568963156</v>
      </c>
      <c r="J27" s="25">
        <f t="shared" si="5"/>
        <v>85.399534310368438</v>
      </c>
      <c r="L27" s="26">
        <f t="shared" si="6"/>
        <v>9.2906317165970739E-2</v>
      </c>
      <c r="M27" s="26">
        <f t="shared" si="7"/>
        <v>0.36727619411540807</v>
      </c>
    </row>
    <row r="28" spans="1:13" x14ac:dyDescent="0.3">
      <c r="A28" s="14" t="s">
        <v>257</v>
      </c>
      <c r="B28" s="22">
        <v>1740</v>
      </c>
      <c r="C28" s="22">
        <v>474</v>
      </c>
      <c r="D28" s="23">
        <f t="shared" si="0"/>
        <v>2214</v>
      </c>
      <c r="E28" s="24">
        <f t="shared" si="1"/>
        <v>0.21409214092140921</v>
      </c>
      <c r="F28" s="46">
        <f t="shared" si="2"/>
        <v>1.2201988887441257</v>
      </c>
      <c r="G28" s="47" t="str">
        <f t="shared" si="3"/>
        <v/>
      </c>
      <c r="I28" s="25">
        <f t="shared" si="4"/>
        <v>1767.015203396795</v>
      </c>
      <c r="J28" s="25">
        <f t="shared" si="5"/>
        <v>446.98479660320504</v>
      </c>
      <c r="L28" s="26">
        <f t="shared" si="6"/>
        <v>0.41302486428370344</v>
      </c>
      <c r="M28" s="26">
        <f t="shared" si="7"/>
        <v>1.6327651860116281</v>
      </c>
    </row>
    <row r="29" spans="1:13" x14ac:dyDescent="0.3">
      <c r="A29" s="14" t="s">
        <v>258</v>
      </c>
      <c r="B29" s="22">
        <v>2631</v>
      </c>
      <c r="C29" s="22">
        <v>703</v>
      </c>
      <c r="D29" s="23">
        <f t="shared" si="0"/>
        <v>3334</v>
      </c>
      <c r="E29" s="24">
        <f t="shared" si="1"/>
        <v>0.21085782843431314</v>
      </c>
      <c r="F29" s="46">
        <f t="shared" si="2"/>
        <v>0.89676764003451814</v>
      </c>
      <c r="G29" s="47" t="str">
        <f t="shared" si="3"/>
        <v/>
      </c>
      <c r="I29" s="25">
        <f t="shared" si="4"/>
        <v>2660.8982331187508</v>
      </c>
      <c r="J29" s="25">
        <f t="shared" si="5"/>
        <v>673.10176688124909</v>
      </c>
      <c r="L29" s="26">
        <f t="shared" si="6"/>
        <v>0.33594082347728543</v>
      </c>
      <c r="M29" s="26">
        <f t="shared" si="7"/>
        <v>1.3280374344655068</v>
      </c>
    </row>
    <row r="30" spans="1:13" x14ac:dyDescent="0.3">
      <c r="A30" s="14" t="s">
        <v>259</v>
      </c>
      <c r="B30" s="22">
        <v>1933</v>
      </c>
      <c r="C30" s="22">
        <v>515</v>
      </c>
      <c r="D30" s="23">
        <f t="shared" si="0"/>
        <v>2448</v>
      </c>
      <c r="E30" s="24">
        <f t="shared" si="1"/>
        <v>0.21037581699346405</v>
      </c>
      <c r="F30" s="46">
        <f t="shared" si="2"/>
        <v>0.84856649594960976</v>
      </c>
      <c r="G30" s="47" t="str">
        <f t="shared" si="3"/>
        <v/>
      </c>
      <c r="I30" s="25">
        <f t="shared" si="4"/>
        <v>1953.7729078208465</v>
      </c>
      <c r="J30" s="25">
        <f t="shared" si="5"/>
        <v>494.22709217915354</v>
      </c>
      <c r="L30" s="26">
        <f t="shared" si="6"/>
        <v>0.22086174785516802</v>
      </c>
      <c r="M30" s="26">
        <f t="shared" si="7"/>
        <v>0.87310814433653794</v>
      </c>
    </row>
    <row r="31" spans="1:13" x14ac:dyDescent="0.3">
      <c r="A31" s="14" t="s">
        <v>260</v>
      </c>
      <c r="B31" s="22">
        <v>4586</v>
      </c>
      <c r="C31" s="22">
        <v>1219</v>
      </c>
      <c r="D31" s="23">
        <f t="shared" si="0"/>
        <v>5805</v>
      </c>
      <c r="E31" s="24">
        <f t="shared" si="1"/>
        <v>0.20999138673557277</v>
      </c>
      <c r="F31" s="46">
        <f t="shared" si="2"/>
        <v>0.81012347016048147</v>
      </c>
      <c r="G31" s="47" t="str">
        <f t="shared" si="3"/>
        <v/>
      </c>
      <c r="I31" s="25">
        <f t="shared" si="4"/>
        <v>4633.027667442816</v>
      </c>
      <c r="J31" s="25">
        <f t="shared" si="5"/>
        <v>1171.972332557184</v>
      </c>
      <c r="L31" s="26">
        <f t="shared" si="6"/>
        <v>0.47735555750151182</v>
      </c>
      <c r="M31" s="26">
        <f t="shared" si="7"/>
        <v>1.8870765492274826</v>
      </c>
    </row>
    <row r="32" spans="1:13" x14ac:dyDescent="0.3">
      <c r="A32" s="14" t="s">
        <v>261</v>
      </c>
      <c r="B32" s="22">
        <v>435</v>
      </c>
      <c r="C32" s="22">
        <v>112</v>
      </c>
      <c r="D32" s="23">
        <f t="shared" si="0"/>
        <v>547</v>
      </c>
      <c r="E32" s="24">
        <f t="shared" si="1"/>
        <v>0.20475319926873858</v>
      </c>
      <c r="F32" s="46">
        <f t="shared" si="2"/>
        <v>0.28630472347706271</v>
      </c>
      <c r="G32" s="47" t="str">
        <f t="shared" si="3"/>
        <v/>
      </c>
      <c r="I32" s="25">
        <f t="shared" si="4"/>
        <v>436.5660868374195</v>
      </c>
      <c r="J32" s="25">
        <f t="shared" si="5"/>
        <v>110.43391316258047</v>
      </c>
      <c r="L32" s="26">
        <f t="shared" si="6"/>
        <v>5.617999327675682E-3</v>
      </c>
      <c r="M32" s="26">
        <f t="shared" si="7"/>
        <v>2.2209010910697005E-2</v>
      </c>
    </row>
    <row r="33" spans="1:13" x14ac:dyDescent="0.3">
      <c r="A33" s="14" t="s">
        <v>262</v>
      </c>
      <c r="B33" s="22">
        <v>3525</v>
      </c>
      <c r="C33" s="22">
        <v>905</v>
      </c>
      <c r="D33" s="23">
        <f t="shared" si="0"/>
        <v>4430</v>
      </c>
      <c r="E33" s="24">
        <f t="shared" si="1"/>
        <v>0.20428893905191872</v>
      </c>
      <c r="F33" s="46">
        <f t="shared" si="2"/>
        <v>0.23987870179507653</v>
      </c>
      <c r="G33" s="47" t="str">
        <f t="shared" si="3"/>
        <v/>
      </c>
      <c r="I33" s="25">
        <f t="shared" si="4"/>
        <v>3535.6266264895221</v>
      </c>
      <c r="J33" s="25">
        <f t="shared" si="5"/>
        <v>894.37337351047802</v>
      </c>
      <c r="L33" s="26">
        <f t="shared" si="6"/>
        <v>3.1939229584299927E-2</v>
      </c>
      <c r="M33" s="26">
        <f t="shared" si="7"/>
        <v>0.12626179836344079</v>
      </c>
    </row>
    <row r="34" spans="1:13" x14ac:dyDescent="0.3">
      <c r="A34" s="14" t="s">
        <v>263</v>
      </c>
      <c r="B34" s="22">
        <v>1060</v>
      </c>
      <c r="C34" s="22">
        <v>272</v>
      </c>
      <c r="D34" s="23">
        <f t="shared" si="0"/>
        <v>1332</v>
      </c>
      <c r="E34" s="24">
        <f t="shared" si="1"/>
        <v>0.20420420420420421</v>
      </c>
      <c r="F34" s="46">
        <f t="shared" si="2"/>
        <v>0.23140521702362526</v>
      </c>
      <c r="G34" s="47" t="str">
        <f t="shared" si="3"/>
        <v/>
      </c>
      <c r="I34" s="25">
        <f t="shared" si="4"/>
        <v>1063.0823174907548</v>
      </c>
      <c r="J34" s="25">
        <f t="shared" si="5"/>
        <v>268.91768250924531</v>
      </c>
      <c r="L34" s="26">
        <f t="shared" si="6"/>
        <v>8.9369195193067571E-3</v>
      </c>
      <c r="M34" s="26">
        <f t="shared" si="7"/>
        <v>3.5329328384665286E-2</v>
      </c>
    </row>
    <row r="35" spans="1:13" x14ac:dyDescent="0.3">
      <c r="A35" s="14" t="s">
        <v>264</v>
      </c>
      <c r="B35" s="22">
        <v>854</v>
      </c>
      <c r="C35" s="22">
        <v>217</v>
      </c>
      <c r="D35" s="23">
        <f t="shared" si="0"/>
        <v>1071</v>
      </c>
      <c r="E35" s="24">
        <f t="shared" si="1"/>
        <v>0.20261437908496732</v>
      </c>
      <c r="F35" s="46">
        <f t="shared" si="2"/>
        <v>7.2422705099936535E-2</v>
      </c>
      <c r="G35" s="47" t="str">
        <f t="shared" si="3"/>
        <v/>
      </c>
      <c r="I35" s="25">
        <f t="shared" si="4"/>
        <v>854.77564717162034</v>
      </c>
      <c r="J35" s="25">
        <f t="shared" si="5"/>
        <v>216.22435282837966</v>
      </c>
      <c r="L35" s="26">
        <f t="shared" si="6"/>
        <v>7.0384379437266715E-4</v>
      </c>
      <c r="M35" s="26">
        <f t="shared" si="7"/>
        <v>2.7824272658137938E-3</v>
      </c>
    </row>
    <row r="36" spans="1:13" x14ac:dyDescent="0.3">
      <c r="A36" s="14" t="s">
        <v>265</v>
      </c>
      <c r="B36" s="22">
        <v>658</v>
      </c>
      <c r="C36" s="22">
        <v>166</v>
      </c>
      <c r="D36" s="23">
        <f t="shared" si="0"/>
        <v>824</v>
      </c>
      <c r="E36" s="24">
        <f t="shared" si="1"/>
        <v>0.20145631067961164</v>
      </c>
      <c r="F36" s="46">
        <f t="shared" si="2"/>
        <v>-4.3384135435631244E-2</v>
      </c>
      <c r="G36" s="47" t="str">
        <f t="shared" si="3"/>
        <v/>
      </c>
      <c r="I36" s="25">
        <f t="shared" si="4"/>
        <v>657.64251472401043</v>
      </c>
      <c r="J36" s="25">
        <f t="shared" si="5"/>
        <v>166.3574852759896</v>
      </c>
      <c r="L36" s="26">
        <f t="shared" si="6"/>
        <v>1.9432399774666918E-4</v>
      </c>
      <c r="M36" s="26">
        <f t="shared" si="7"/>
        <v>7.6819941307328446E-4</v>
      </c>
    </row>
    <row r="37" spans="1:13" x14ac:dyDescent="0.3">
      <c r="A37" s="14" t="s">
        <v>266</v>
      </c>
      <c r="B37" s="22">
        <v>1523</v>
      </c>
      <c r="C37" s="22">
        <v>384</v>
      </c>
      <c r="D37" s="23">
        <f t="shared" si="0"/>
        <v>1907</v>
      </c>
      <c r="E37" s="24">
        <f t="shared" si="1"/>
        <v>0.20136339800734138</v>
      </c>
      <c r="F37" s="46">
        <f t="shared" si="2"/>
        <v>-5.2675402662658022E-2</v>
      </c>
      <c r="G37" s="47" t="str">
        <f t="shared" si="3"/>
        <v/>
      </c>
      <c r="I37" s="25">
        <f t="shared" si="4"/>
        <v>1521.995480071223</v>
      </c>
      <c r="J37" s="25">
        <f t="shared" si="5"/>
        <v>385.00451992877686</v>
      </c>
      <c r="L37" s="26">
        <f t="shared" si="6"/>
        <v>6.6298507487214933E-4</v>
      </c>
      <c r="M37" s="26">
        <f t="shared" si="7"/>
        <v>2.6209050415733652E-3</v>
      </c>
    </row>
    <row r="38" spans="1:13" x14ac:dyDescent="0.3">
      <c r="A38" s="14" t="s">
        <v>267</v>
      </c>
      <c r="B38" s="22">
        <v>1152</v>
      </c>
      <c r="C38" s="22">
        <v>287</v>
      </c>
      <c r="D38" s="23">
        <f t="shared" si="0"/>
        <v>1439</v>
      </c>
      <c r="E38" s="24">
        <f t="shared" si="1"/>
        <v>0.19944405837387075</v>
      </c>
      <c r="F38" s="46">
        <f t="shared" si="2"/>
        <v>-0.24460936600972094</v>
      </c>
      <c r="G38" s="47" t="str">
        <f t="shared" si="3"/>
        <v/>
      </c>
      <c r="I38" s="25">
        <f t="shared" si="4"/>
        <v>1148.4800712231201</v>
      </c>
      <c r="J38" s="25">
        <f t="shared" si="5"/>
        <v>290.51992877687985</v>
      </c>
      <c r="L38" s="26">
        <f t="shared" si="6"/>
        <v>1.0788083228219853E-2</v>
      </c>
      <c r="M38" s="26">
        <f t="shared" si="7"/>
        <v>4.2647327659998027E-2</v>
      </c>
    </row>
    <row r="39" spans="1:13" x14ac:dyDescent="0.3">
      <c r="A39" s="14" t="s">
        <v>268</v>
      </c>
      <c r="B39" s="22">
        <v>2223</v>
      </c>
      <c r="C39" s="22">
        <v>550</v>
      </c>
      <c r="D39" s="23">
        <f t="shared" ref="D39:D70" si="8">B39+C39</f>
        <v>2773</v>
      </c>
      <c r="E39" s="24">
        <f t="shared" ref="E39:E70" si="9">C39/D39</f>
        <v>0.1983411467724486</v>
      </c>
      <c r="F39" s="46">
        <f t="shared" ref="F39:F70" si="10">(E39-$E$76)*100</f>
        <v>-0.35490052615193557</v>
      </c>
      <c r="G39" s="47" t="str">
        <f t="shared" ref="G39:G70" si="11">IF(F39&gt;=$C$85,"Above","")</f>
        <v/>
      </c>
      <c r="I39" s="25">
        <f t="shared" ref="I39:I75" si="12">$D39*B$76/$D$76</f>
        <v>2213.1586084098067</v>
      </c>
      <c r="J39" s="25">
        <f t="shared" ref="J39:J75" si="13">$D39*C$76/$D$76</f>
        <v>559.8413915901931</v>
      </c>
      <c r="L39" s="26">
        <f t="shared" ref="L39:L75" si="14">(B39-I39)^2/I39</f>
        <v>4.3762335000977849E-2</v>
      </c>
      <c r="M39" s="26">
        <f t="shared" ref="M39:M75" si="15">(C39-J39)^2/J39</f>
        <v>0.17300076394212083</v>
      </c>
    </row>
    <row r="40" spans="1:13" x14ac:dyDescent="0.3">
      <c r="A40" s="14" t="s">
        <v>269</v>
      </c>
      <c r="B40" s="22">
        <v>1473</v>
      </c>
      <c r="C40" s="22">
        <v>363</v>
      </c>
      <c r="D40" s="23">
        <f t="shared" si="8"/>
        <v>1836</v>
      </c>
      <c r="E40" s="24">
        <f t="shared" si="9"/>
        <v>0.19771241830065359</v>
      </c>
      <c r="F40" s="46">
        <f t="shared" si="10"/>
        <v>-0.41777337333143705</v>
      </c>
      <c r="G40" s="47" t="str">
        <f t="shared" si="11"/>
        <v/>
      </c>
      <c r="I40" s="25">
        <f t="shared" si="12"/>
        <v>1465.3296808656348</v>
      </c>
      <c r="J40" s="25">
        <f t="shared" si="13"/>
        <v>370.67031913436517</v>
      </c>
      <c r="L40" s="26">
        <f t="shared" si="14"/>
        <v>4.0150552050684442E-2</v>
      </c>
      <c r="M40" s="26">
        <f t="shared" si="15"/>
        <v>0.15872270474853339</v>
      </c>
    </row>
    <row r="41" spans="1:13" x14ac:dyDescent="0.3">
      <c r="A41" s="14" t="s">
        <v>270</v>
      </c>
      <c r="B41" s="22">
        <v>2063</v>
      </c>
      <c r="C41" s="22">
        <v>508</v>
      </c>
      <c r="D41" s="23">
        <f t="shared" si="8"/>
        <v>2571</v>
      </c>
      <c r="E41" s="24">
        <f t="shared" si="9"/>
        <v>0.19758848697005058</v>
      </c>
      <c r="F41" s="46">
        <f t="shared" si="10"/>
        <v>-0.43016650639173815</v>
      </c>
      <c r="G41" s="47" t="str">
        <f t="shared" si="11"/>
        <v/>
      </c>
      <c r="I41" s="25">
        <f t="shared" si="12"/>
        <v>2051.9404191206686</v>
      </c>
      <c r="J41" s="25">
        <f t="shared" si="13"/>
        <v>519.05958087933163</v>
      </c>
      <c r="L41" s="26">
        <f t="shared" si="14"/>
        <v>5.9609103698483115E-2</v>
      </c>
      <c r="M41" s="26">
        <f t="shared" si="15"/>
        <v>0.2356460293426563</v>
      </c>
    </row>
    <row r="42" spans="1:13" x14ac:dyDescent="0.3">
      <c r="A42" s="14" t="s">
        <v>271</v>
      </c>
      <c r="B42" s="22">
        <v>432</v>
      </c>
      <c r="C42" s="22">
        <v>106</v>
      </c>
      <c r="D42" s="23">
        <f t="shared" si="8"/>
        <v>538</v>
      </c>
      <c r="E42" s="24">
        <f t="shared" si="9"/>
        <v>0.19702602230483271</v>
      </c>
      <c r="F42" s="46">
        <f t="shared" si="10"/>
        <v>-0.4864129729135247</v>
      </c>
      <c r="G42" s="47" t="str">
        <f t="shared" si="11"/>
        <v/>
      </c>
      <c r="I42" s="25">
        <f t="shared" si="12"/>
        <v>429.38309820572522</v>
      </c>
      <c r="J42" s="25">
        <f t="shared" si="13"/>
        <v>108.61690179427475</v>
      </c>
      <c r="L42" s="26">
        <f t="shared" si="14"/>
        <v>1.5948869504866924E-2</v>
      </c>
      <c r="M42" s="26">
        <f t="shared" si="15"/>
        <v>6.3048889148478657E-2</v>
      </c>
    </row>
    <row r="43" spans="1:13" x14ac:dyDescent="0.3">
      <c r="A43" s="14" t="s">
        <v>272</v>
      </c>
      <c r="B43" s="22">
        <v>352</v>
      </c>
      <c r="C43" s="22">
        <v>86</v>
      </c>
      <c r="D43" s="23">
        <f t="shared" si="8"/>
        <v>438</v>
      </c>
      <c r="E43" s="24">
        <f t="shared" si="9"/>
        <v>0.19634703196347031</v>
      </c>
      <c r="F43" s="46">
        <f t="shared" si="10"/>
        <v>-0.5543120070497648</v>
      </c>
      <c r="G43" s="47" t="str">
        <f t="shared" si="11"/>
        <v/>
      </c>
      <c r="I43" s="25">
        <f t="shared" si="12"/>
        <v>349.57211340912204</v>
      </c>
      <c r="J43" s="25">
        <f t="shared" si="13"/>
        <v>88.427886590877961</v>
      </c>
      <c r="L43" s="26">
        <f t="shared" si="14"/>
        <v>1.6862424295459224E-2</v>
      </c>
      <c r="M43" s="26">
        <f t="shared" si="15"/>
        <v>6.6660343534356098E-2</v>
      </c>
    </row>
    <row r="44" spans="1:13" x14ac:dyDescent="0.3">
      <c r="A44" s="14" t="s">
        <v>273</v>
      </c>
      <c r="B44" s="22">
        <v>563</v>
      </c>
      <c r="C44" s="22">
        <v>137</v>
      </c>
      <c r="D44" s="23">
        <f t="shared" si="8"/>
        <v>700</v>
      </c>
      <c r="E44" s="24">
        <f t="shared" si="9"/>
        <v>0.1957142857142857</v>
      </c>
      <c r="F44" s="46">
        <f t="shared" si="10"/>
        <v>-0.6175866319682255</v>
      </c>
      <c r="G44" s="47" t="str">
        <f t="shared" si="11"/>
        <v/>
      </c>
      <c r="I44" s="25">
        <f t="shared" si="12"/>
        <v>558.67689357622248</v>
      </c>
      <c r="J44" s="25">
        <f t="shared" si="13"/>
        <v>141.32310642377757</v>
      </c>
      <c r="L44" s="26">
        <f t="shared" si="14"/>
        <v>3.345269755416614E-2</v>
      </c>
      <c r="M44" s="26">
        <f t="shared" si="15"/>
        <v>0.1322448226920836</v>
      </c>
    </row>
    <row r="45" spans="1:13" x14ac:dyDescent="0.3">
      <c r="A45" s="14" t="s">
        <v>274</v>
      </c>
      <c r="B45" s="22">
        <v>364</v>
      </c>
      <c r="C45" s="22">
        <v>88</v>
      </c>
      <c r="D45" s="23">
        <f t="shared" si="8"/>
        <v>452</v>
      </c>
      <c r="E45" s="24">
        <f t="shared" si="9"/>
        <v>0.19469026548672566</v>
      </c>
      <c r="F45" s="46">
        <f t="shared" si="10"/>
        <v>-0.71998865472422957</v>
      </c>
      <c r="G45" s="47" t="str">
        <f t="shared" si="11"/>
        <v/>
      </c>
      <c r="I45" s="25">
        <f t="shared" si="12"/>
        <v>360.74565128064648</v>
      </c>
      <c r="J45" s="25">
        <f t="shared" si="13"/>
        <v>91.254348719353516</v>
      </c>
      <c r="L45" s="26">
        <f t="shared" si="14"/>
        <v>2.9358040906551738E-2</v>
      </c>
      <c r="M45" s="26">
        <f t="shared" si="15"/>
        <v>0.11605787270181613</v>
      </c>
    </row>
    <row r="46" spans="1:13" x14ac:dyDescent="0.3">
      <c r="A46" s="14" t="s">
        <v>275</v>
      </c>
      <c r="B46" s="22">
        <v>1788</v>
      </c>
      <c r="C46" s="22">
        <v>429</v>
      </c>
      <c r="D46" s="23">
        <f t="shared" si="8"/>
        <v>2217</v>
      </c>
      <c r="E46" s="24">
        <f t="shared" si="9"/>
        <v>0.19350473612990526</v>
      </c>
      <c r="F46" s="46">
        <f t="shared" si="10"/>
        <v>-0.8385415904062693</v>
      </c>
      <c r="G46" s="47" t="str">
        <f t="shared" si="11"/>
        <v/>
      </c>
      <c r="I46" s="25">
        <f t="shared" si="12"/>
        <v>1769.409532940693</v>
      </c>
      <c r="J46" s="25">
        <f t="shared" si="13"/>
        <v>447.59046705930695</v>
      </c>
      <c r="L46" s="26">
        <f t="shared" si="14"/>
        <v>0.19532248416724379</v>
      </c>
      <c r="M46" s="26">
        <f t="shared" si="15"/>
        <v>0.77214661821066655</v>
      </c>
    </row>
    <row r="47" spans="1:13" x14ac:dyDescent="0.3">
      <c r="A47" s="14" t="s">
        <v>276</v>
      </c>
      <c r="B47" s="22">
        <v>561</v>
      </c>
      <c r="C47" s="22">
        <v>133</v>
      </c>
      <c r="D47" s="23">
        <f t="shared" si="8"/>
        <v>694</v>
      </c>
      <c r="E47" s="24">
        <f t="shared" si="9"/>
        <v>0.19164265129682997</v>
      </c>
      <c r="F47" s="46">
        <f t="shared" si="10"/>
        <v>-1.0247500737137982</v>
      </c>
      <c r="G47" s="47" t="str">
        <f t="shared" si="11"/>
        <v/>
      </c>
      <c r="I47" s="25">
        <f t="shared" si="12"/>
        <v>553.88823448842629</v>
      </c>
      <c r="J47" s="25">
        <f t="shared" si="13"/>
        <v>140.11176551157376</v>
      </c>
      <c r="L47" s="26">
        <f t="shared" si="14"/>
        <v>9.1313022271221525E-2</v>
      </c>
      <c r="M47" s="26">
        <f t="shared" si="15"/>
        <v>0.36097759889716174</v>
      </c>
    </row>
    <row r="48" spans="1:13" x14ac:dyDescent="0.3">
      <c r="A48" s="14" t="s">
        <v>277</v>
      </c>
      <c r="B48" s="22">
        <v>1524</v>
      </c>
      <c r="C48" s="22">
        <v>361</v>
      </c>
      <c r="D48" s="23">
        <f t="shared" si="8"/>
        <v>1885</v>
      </c>
      <c r="E48" s="24">
        <f t="shared" si="9"/>
        <v>0.19151193633952254</v>
      </c>
      <c r="F48" s="46">
        <f t="shared" si="10"/>
        <v>-1.0378215694445414</v>
      </c>
      <c r="G48" s="47" t="str">
        <f t="shared" si="11"/>
        <v/>
      </c>
      <c r="I48" s="25">
        <f t="shared" si="12"/>
        <v>1504.4370634159704</v>
      </c>
      <c r="J48" s="25">
        <f t="shared" si="13"/>
        <v>380.56293658402956</v>
      </c>
      <c r="L48" s="26">
        <f t="shared" si="14"/>
        <v>0.2543865058215099</v>
      </c>
      <c r="M48" s="26">
        <f t="shared" si="15"/>
        <v>1.0056378354287234</v>
      </c>
    </row>
    <row r="49" spans="1:13" x14ac:dyDescent="0.3">
      <c r="A49" s="14" t="s">
        <v>278</v>
      </c>
      <c r="B49" s="22">
        <v>855</v>
      </c>
      <c r="C49" s="22">
        <v>202</v>
      </c>
      <c r="D49" s="23">
        <f t="shared" si="8"/>
        <v>1057</v>
      </c>
      <c r="E49" s="24">
        <f t="shared" si="9"/>
        <v>0.19110690633869443</v>
      </c>
      <c r="F49" s="46">
        <f t="shared" si="10"/>
        <v>-1.0783245695273531</v>
      </c>
      <c r="G49" s="47" t="str">
        <f t="shared" si="11"/>
        <v/>
      </c>
      <c r="I49" s="25">
        <f t="shared" si="12"/>
        <v>843.60210930009589</v>
      </c>
      <c r="J49" s="25">
        <f t="shared" si="13"/>
        <v>213.39789069990411</v>
      </c>
      <c r="L49" s="26">
        <f t="shared" si="14"/>
        <v>0.15399666617090788</v>
      </c>
      <c r="M49" s="26">
        <f t="shared" si="15"/>
        <v>0.60877786552094992</v>
      </c>
    </row>
    <row r="50" spans="1:13" x14ac:dyDescent="0.3">
      <c r="A50" s="14" t="s">
        <v>279</v>
      </c>
      <c r="B50" s="22">
        <v>6252</v>
      </c>
      <c r="C50" s="22">
        <v>1465</v>
      </c>
      <c r="D50" s="23">
        <f t="shared" si="8"/>
        <v>7717</v>
      </c>
      <c r="E50" s="24">
        <f t="shared" si="9"/>
        <v>0.18984061163664637</v>
      </c>
      <c r="F50" s="46">
        <f t="shared" si="10"/>
        <v>-1.204954039732159</v>
      </c>
      <c r="G50" s="47" t="str">
        <f t="shared" si="11"/>
        <v/>
      </c>
      <c r="I50" s="25">
        <f t="shared" si="12"/>
        <v>6159.0136967538692</v>
      </c>
      <c r="J50" s="25">
        <f t="shared" si="13"/>
        <v>1557.9863032461308</v>
      </c>
      <c r="L50" s="26">
        <f t="shared" si="14"/>
        <v>1.4038696806176183</v>
      </c>
      <c r="M50" s="26">
        <f t="shared" si="15"/>
        <v>5.5497616207319274</v>
      </c>
    </row>
    <row r="51" spans="1:13" x14ac:dyDescent="0.3">
      <c r="A51" s="14" t="s">
        <v>280</v>
      </c>
      <c r="B51" s="22">
        <v>689</v>
      </c>
      <c r="C51" s="22">
        <v>160</v>
      </c>
      <c r="D51" s="23">
        <f t="shared" si="8"/>
        <v>849</v>
      </c>
      <c r="E51" s="24">
        <f t="shared" si="9"/>
        <v>0.18845700824499412</v>
      </c>
      <c r="F51" s="46">
        <f t="shared" si="10"/>
        <v>-1.343314378897384</v>
      </c>
      <c r="G51" s="47" t="str">
        <f t="shared" si="11"/>
        <v/>
      </c>
      <c r="I51" s="25">
        <f t="shared" si="12"/>
        <v>677.59526092316116</v>
      </c>
      <c r="J51" s="25">
        <f t="shared" si="13"/>
        <v>171.40473907683878</v>
      </c>
      <c r="L51" s="26">
        <f t="shared" si="14"/>
        <v>0.19195540599497254</v>
      </c>
      <c r="M51" s="26">
        <f t="shared" si="15"/>
        <v>0.75883592315650883</v>
      </c>
    </row>
    <row r="52" spans="1:13" x14ac:dyDescent="0.3">
      <c r="A52" s="14" t="s">
        <v>281</v>
      </c>
      <c r="B52" s="22">
        <v>210</v>
      </c>
      <c r="C52" s="22">
        <v>48</v>
      </c>
      <c r="D52" s="23">
        <f t="shared" si="8"/>
        <v>258</v>
      </c>
      <c r="E52" s="24">
        <f t="shared" si="9"/>
        <v>0.18604651162790697</v>
      </c>
      <c r="F52" s="46">
        <f t="shared" si="10"/>
        <v>-1.5843640406060984</v>
      </c>
      <c r="G52" s="47" t="str">
        <f t="shared" si="11"/>
        <v/>
      </c>
      <c r="I52" s="25">
        <f t="shared" si="12"/>
        <v>205.91234077523626</v>
      </c>
      <c r="J52" s="25">
        <f t="shared" si="13"/>
        <v>52.087659224763733</v>
      </c>
      <c r="L52" s="26">
        <f t="shared" si="14"/>
        <v>8.1145976364936659E-2</v>
      </c>
      <c r="M52" s="26">
        <f t="shared" si="15"/>
        <v>0.32078534889992144</v>
      </c>
    </row>
    <row r="53" spans="1:13" x14ac:dyDescent="0.3">
      <c r="A53" s="14" t="s">
        <v>282</v>
      </c>
      <c r="B53" s="22">
        <v>254</v>
      </c>
      <c r="C53" s="22">
        <v>58</v>
      </c>
      <c r="D53" s="23">
        <f t="shared" si="8"/>
        <v>312</v>
      </c>
      <c r="E53" s="24">
        <f t="shared" si="9"/>
        <v>0.1858974358974359</v>
      </c>
      <c r="F53" s="46">
        <f t="shared" si="10"/>
        <v>-1.5992716136532055</v>
      </c>
      <c r="G53" s="47" t="str">
        <f t="shared" si="11"/>
        <v/>
      </c>
      <c r="I53" s="25">
        <f t="shared" si="12"/>
        <v>249.010272565402</v>
      </c>
      <c r="J53" s="25">
        <f t="shared" si="13"/>
        <v>62.989727434598002</v>
      </c>
      <c r="L53" s="26">
        <f t="shared" si="14"/>
        <v>9.9985352471917185E-2</v>
      </c>
      <c r="M53" s="26">
        <f t="shared" si="15"/>
        <v>0.39526095580316356</v>
      </c>
    </row>
    <row r="54" spans="1:13" x14ac:dyDescent="0.3">
      <c r="A54" s="14" t="s">
        <v>283</v>
      </c>
      <c r="B54" s="22">
        <v>221</v>
      </c>
      <c r="C54" s="22">
        <v>50</v>
      </c>
      <c r="D54" s="23">
        <f t="shared" si="8"/>
        <v>271</v>
      </c>
      <c r="E54" s="24">
        <f t="shared" si="9"/>
        <v>0.18450184501845018</v>
      </c>
      <c r="F54" s="46">
        <f t="shared" si="10"/>
        <v>-1.7388307015517772</v>
      </c>
      <c r="G54" s="47" t="str">
        <f t="shared" si="11"/>
        <v/>
      </c>
      <c r="I54" s="25">
        <f t="shared" si="12"/>
        <v>216.28776879879467</v>
      </c>
      <c r="J54" s="25">
        <f t="shared" si="13"/>
        <v>54.712231201205313</v>
      </c>
      <c r="L54" s="26">
        <f t="shared" si="14"/>
        <v>0.10266471847638176</v>
      </c>
      <c r="M54" s="26">
        <f t="shared" si="15"/>
        <v>0.40585299495378074</v>
      </c>
    </row>
    <row r="55" spans="1:13" x14ac:dyDescent="0.3">
      <c r="A55" s="14" t="s">
        <v>284</v>
      </c>
      <c r="B55" s="22">
        <v>845</v>
      </c>
      <c r="C55" s="22">
        <v>190</v>
      </c>
      <c r="D55" s="23">
        <f t="shared" si="8"/>
        <v>1035</v>
      </c>
      <c r="E55" s="24">
        <f t="shared" si="9"/>
        <v>0.18357487922705315</v>
      </c>
      <c r="F55" s="46">
        <f t="shared" si="10"/>
        <v>-1.8315272806914806</v>
      </c>
      <c r="G55" s="47" t="str">
        <f t="shared" si="11"/>
        <v/>
      </c>
      <c r="I55" s="25">
        <f t="shared" si="12"/>
        <v>826.04369264484319</v>
      </c>
      <c r="J55" s="25">
        <f t="shared" si="13"/>
        <v>208.95630735515684</v>
      </c>
      <c r="L55" s="26">
        <f t="shared" si="14"/>
        <v>0.43501523193358588</v>
      </c>
      <c r="M55" s="26">
        <f t="shared" si="15"/>
        <v>1.719697256768665</v>
      </c>
    </row>
    <row r="56" spans="1:13" x14ac:dyDescent="0.3">
      <c r="A56" s="14" t="s">
        <v>285</v>
      </c>
      <c r="B56" s="22">
        <v>1543</v>
      </c>
      <c r="C56" s="22">
        <v>346</v>
      </c>
      <c r="D56" s="23">
        <f t="shared" si="8"/>
        <v>1889</v>
      </c>
      <c r="E56" s="24">
        <f t="shared" si="9"/>
        <v>0.18316569613552144</v>
      </c>
      <c r="F56" s="46">
        <f t="shared" si="10"/>
        <v>-1.8724455898446513</v>
      </c>
      <c r="G56" s="47" t="str">
        <f t="shared" si="11"/>
        <v/>
      </c>
      <c r="I56" s="25">
        <f t="shared" si="12"/>
        <v>1507.6295028078346</v>
      </c>
      <c r="J56" s="25">
        <f t="shared" si="13"/>
        <v>381.37049719216543</v>
      </c>
      <c r="L56" s="26">
        <f t="shared" si="14"/>
        <v>0.82982726809933405</v>
      </c>
      <c r="M56" s="26">
        <f t="shared" si="15"/>
        <v>3.2804636982461464</v>
      </c>
    </row>
    <row r="57" spans="1:13" x14ac:dyDescent="0.3">
      <c r="A57" s="14" t="s">
        <v>286</v>
      </c>
      <c r="B57" s="22">
        <v>2559</v>
      </c>
      <c r="C57" s="22">
        <v>572</v>
      </c>
      <c r="D57" s="23">
        <f t="shared" si="8"/>
        <v>3131</v>
      </c>
      <c r="E57" s="24">
        <f t="shared" si="9"/>
        <v>0.18268923666560205</v>
      </c>
      <c r="F57" s="46">
        <f t="shared" si="10"/>
        <v>-1.9200915368365905</v>
      </c>
      <c r="G57" s="47" t="str">
        <f t="shared" si="11"/>
        <v/>
      </c>
      <c r="I57" s="25">
        <f t="shared" si="12"/>
        <v>2498.8819339816464</v>
      </c>
      <c r="J57" s="25">
        <f t="shared" si="13"/>
        <v>632.1180660183536</v>
      </c>
      <c r="L57" s="26">
        <f t="shared" si="14"/>
        <v>1.4463195770231485</v>
      </c>
      <c r="M57" s="26">
        <f t="shared" si="15"/>
        <v>5.7175740673771287</v>
      </c>
    </row>
    <row r="58" spans="1:13" x14ac:dyDescent="0.3">
      <c r="A58" s="14" t="s">
        <v>287</v>
      </c>
      <c r="B58" s="22">
        <v>1169</v>
      </c>
      <c r="C58" s="22">
        <v>258</v>
      </c>
      <c r="D58" s="23">
        <f t="shared" si="8"/>
        <v>1427</v>
      </c>
      <c r="E58" s="24">
        <f t="shared" si="9"/>
        <v>0.1807988787666433</v>
      </c>
      <c r="F58" s="46">
        <f t="shared" si="10"/>
        <v>-2.1091273267324655</v>
      </c>
      <c r="G58" s="47" t="str">
        <f t="shared" si="11"/>
        <v/>
      </c>
      <c r="I58" s="25">
        <f t="shared" si="12"/>
        <v>1138.9027530475278</v>
      </c>
      <c r="J58" s="25">
        <f t="shared" si="13"/>
        <v>288.09724695247229</v>
      </c>
      <c r="L58" s="26">
        <f t="shared" si="14"/>
        <v>0.79536577788946405</v>
      </c>
      <c r="M58" s="26">
        <f t="shared" si="15"/>
        <v>3.1442309279253218</v>
      </c>
    </row>
    <row r="59" spans="1:13" x14ac:dyDescent="0.3">
      <c r="A59" s="14" t="s">
        <v>288</v>
      </c>
      <c r="B59" s="22">
        <v>254</v>
      </c>
      <c r="C59" s="22">
        <v>56</v>
      </c>
      <c r="D59" s="23">
        <f t="shared" si="8"/>
        <v>310</v>
      </c>
      <c r="E59" s="24">
        <f t="shared" si="9"/>
        <v>0.18064516129032257</v>
      </c>
      <c r="F59" s="46">
        <f t="shared" si="10"/>
        <v>-2.1244990743645387</v>
      </c>
      <c r="G59" s="47" t="str">
        <f t="shared" si="11"/>
        <v/>
      </c>
      <c r="I59" s="25">
        <f t="shared" si="12"/>
        <v>247.41405286946994</v>
      </c>
      <c r="J59" s="25">
        <f t="shared" si="13"/>
        <v>62.585947130530066</v>
      </c>
      <c r="L59" s="26">
        <f t="shared" si="14"/>
        <v>0.17531219064998149</v>
      </c>
      <c r="M59" s="26">
        <f t="shared" si="15"/>
        <v>0.69304215394670576</v>
      </c>
    </row>
    <row r="60" spans="1:13" x14ac:dyDescent="0.3">
      <c r="A60" s="14" t="s">
        <v>289</v>
      </c>
      <c r="B60" s="22">
        <v>351</v>
      </c>
      <c r="C60" s="22">
        <v>77</v>
      </c>
      <c r="D60" s="23">
        <f t="shared" si="8"/>
        <v>428</v>
      </c>
      <c r="E60" s="24">
        <f t="shared" si="9"/>
        <v>0.17990654205607476</v>
      </c>
      <c r="F60" s="46">
        <f t="shared" si="10"/>
        <v>-2.1983609977893197</v>
      </c>
      <c r="G60" s="47" t="str">
        <f t="shared" si="11"/>
        <v/>
      </c>
      <c r="I60" s="25">
        <f t="shared" si="12"/>
        <v>341.59101492946172</v>
      </c>
      <c r="J60" s="25">
        <f t="shared" si="13"/>
        <v>86.408985070538279</v>
      </c>
      <c r="L60" s="26">
        <f t="shared" si="14"/>
        <v>0.25916665306870962</v>
      </c>
      <c r="M60" s="26">
        <f t="shared" si="15"/>
        <v>1.0245346590443496</v>
      </c>
    </row>
    <row r="61" spans="1:13" x14ac:dyDescent="0.3">
      <c r="A61" s="14" t="s">
        <v>290</v>
      </c>
      <c r="B61" s="22">
        <v>2058</v>
      </c>
      <c r="C61" s="22">
        <v>451</v>
      </c>
      <c r="D61" s="23">
        <f t="shared" si="8"/>
        <v>2509</v>
      </c>
      <c r="E61" s="24">
        <f t="shared" si="9"/>
        <v>0.17975288959744917</v>
      </c>
      <c r="F61" s="46">
        <f t="shared" si="10"/>
        <v>-2.2137262436518785</v>
      </c>
      <c r="G61" s="47" t="str">
        <f t="shared" si="11"/>
        <v/>
      </c>
      <c r="I61" s="25">
        <f t="shared" si="12"/>
        <v>2002.4576085467745</v>
      </c>
      <c r="J61" s="25">
        <f t="shared" si="13"/>
        <v>506.5423914532256</v>
      </c>
      <c r="L61" s="26">
        <f t="shared" si="14"/>
        <v>1.5405855460691398</v>
      </c>
      <c r="M61" s="26">
        <f t="shared" si="15"/>
        <v>6.0902252218079465</v>
      </c>
    </row>
    <row r="62" spans="1:13" x14ac:dyDescent="0.3">
      <c r="A62" s="14" t="s">
        <v>291</v>
      </c>
      <c r="B62" s="22">
        <v>1862</v>
      </c>
      <c r="C62" s="22">
        <v>402</v>
      </c>
      <c r="D62" s="23">
        <f t="shared" si="8"/>
        <v>2264</v>
      </c>
      <c r="E62" s="24">
        <f t="shared" si="9"/>
        <v>0.1775618374558304</v>
      </c>
      <c r="F62" s="46">
        <f t="shared" si="10"/>
        <v>-2.4328314578137555</v>
      </c>
      <c r="G62" s="47" t="str">
        <f t="shared" si="11"/>
        <v/>
      </c>
      <c r="I62" s="25">
        <f t="shared" si="12"/>
        <v>1806.9206957950967</v>
      </c>
      <c r="J62" s="25">
        <f t="shared" si="13"/>
        <v>457.07930420490345</v>
      </c>
      <c r="L62" s="26">
        <f t="shared" si="14"/>
        <v>1.6789501380752934</v>
      </c>
      <c r="M62" s="26">
        <f t="shared" si="15"/>
        <v>6.6372065499082593</v>
      </c>
    </row>
    <row r="63" spans="1:13" x14ac:dyDescent="0.3">
      <c r="A63" s="14" t="s">
        <v>292</v>
      </c>
      <c r="B63" s="22">
        <v>1278</v>
      </c>
      <c r="C63" s="22">
        <v>275</v>
      </c>
      <c r="D63" s="23">
        <f t="shared" si="8"/>
        <v>1553</v>
      </c>
      <c r="E63" s="24">
        <f t="shared" si="9"/>
        <v>0.17707662588538314</v>
      </c>
      <c r="F63" s="46">
        <f t="shared" si="10"/>
        <v>-2.4813526148584812</v>
      </c>
      <c r="G63" s="47" t="str">
        <f t="shared" si="11"/>
        <v/>
      </c>
      <c r="I63" s="25">
        <f t="shared" si="12"/>
        <v>1239.4645938912479</v>
      </c>
      <c r="J63" s="25">
        <f t="shared" si="13"/>
        <v>313.53540610875223</v>
      </c>
      <c r="L63" s="26">
        <f t="shared" si="14"/>
        <v>1.198079825180342</v>
      </c>
      <c r="M63" s="26">
        <f t="shared" si="15"/>
        <v>4.7362355097190596</v>
      </c>
    </row>
    <row r="64" spans="1:13" x14ac:dyDescent="0.3">
      <c r="A64" s="14" t="s">
        <v>293</v>
      </c>
      <c r="B64" s="22">
        <v>2262</v>
      </c>
      <c r="C64" s="22">
        <v>482</v>
      </c>
      <c r="D64" s="23">
        <f t="shared" si="8"/>
        <v>2744</v>
      </c>
      <c r="E64" s="24">
        <f t="shared" si="9"/>
        <v>0.17565597667638483</v>
      </c>
      <c r="F64" s="46">
        <f t="shared" si="10"/>
        <v>-2.6234175357583127</v>
      </c>
      <c r="G64" s="47" t="str">
        <f t="shared" si="11"/>
        <v/>
      </c>
      <c r="I64" s="25">
        <f t="shared" si="12"/>
        <v>2190.0134228187922</v>
      </c>
      <c r="J64" s="25">
        <f t="shared" si="13"/>
        <v>553.98657718120808</v>
      </c>
      <c r="L64" s="26">
        <f t="shared" si="14"/>
        <v>2.3662262707029873</v>
      </c>
      <c r="M64" s="26">
        <f t="shared" si="15"/>
        <v>9.3541387241427376</v>
      </c>
    </row>
    <row r="65" spans="1:13" x14ac:dyDescent="0.3">
      <c r="A65" s="14" t="s">
        <v>294</v>
      </c>
      <c r="B65" s="22">
        <v>1139</v>
      </c>
      <c r="C65" s="22">
        <v>236</v>
      </c>
      <c r="D65" s="23">
        <f t="shared" si="8"/>
        <v>1375</v>
      </c>
      <c r="E65" s="24">
        <f t="shared" si="9"/>
        <v>0.17163636363636364</v>
      </c>
      <c r="F65" s="46">
        <f t="shared" si="10"/>
        <v>-3.0253788397604313</v>
      </c>
      <c r="G65" s="47" t="str">
        <f t="shared" si="11"/>
        <v/>
      </c>
      <c r="I65" s="25">
        <f t="shared" si="12"/>
        <v>1097.4010409532941</v>
      </c>
      <c r="J65" s="25">
        <f t="shared" si="13"/>
        <v>277.59895904670594</v>
      </c>
      <c r="L65" s="26">
        <f t="shared" si="14"/>
        <v>1.5768833172112537</v>
      </c>
      <c r="M65" s="26">
        <f t="shared" si="15"/>
        <v>6.2337171569810055</v>
      </c>
    </row>
    <row r="66" spans="1:13" x14ac:dyDescent="0.3">
      <c r="A66" s="14" t="s">
        <v>295</v>
      </c>
      <c r="B66" s="22">
        <v>692</v>
      </c>
      <c r="C66" s="22">
        <v>143</v>
      </c>
      <c r="D66" s="23">
        <f t="shared" si="8"/>
        <v>835</v>
      </c>
      <c r="E66" s="24">
        <f t="shared" si="9"/>
        <v>0.17125748502994012</v>
      </c>
      <c r="F66" s="46">
        <f t="shared" si="10"/>
        <v>-3.0632667004027834</v>
      </c>
      <c r="G66" s="47" t="str">
        <f t="shared" si="11"/>
        <v/>
      </c>
      <c r="I66" s="25">
        <f t="shared" si="12"/>
        <v>666.42172305163672</v>
      </c>
      <c r="J66" s="25">
        <f t="shared" si="13"/>
        <v>168.57827694836323</v>
      </c>
      <c r="L66" s="26">
        <f t="shared" si="14"/>
        <v>0.98173308134566761</v>
      </c>
      <c r="M66" s="26">
        <f t="shared" si="15"/>
        <v>3.8809760278162688</v>
      </c>
    </row>
    <row r="67" spans="1:13" x14ac:dyDescent="0.3">
      <c r="A67" s="14" t="s">
        <v>296</v>
      </c>
      <c r="B67" s="22">
        <v>534</v>
      </c>
      <c r="C67" s="22">
        <v>110</v>
      </c>
      <c r="D67" s="23">
        <f t="shared" si="8"/>
        <v>644</v>
      </c>
      <c r="E67" s="24">
        <f t="shared" si="9"/>
        <v>0.17080745341614906</v>
      </c>
      <c r="F67" s="46">
        <f t="shared" si="10"/>
        <v>-3.1082698617818898</v>
      </c>
      <c r="G67" s="47" t="str">
        <f t="shared" si="11"/>
        <v/>
      </c>
      <c r="I67" s="25">
        <f t="shared" si="12"/>
        <v>513.98274209012459</v>
      </c>
      <c r="J67" s="25">
        <f t="shared" si="13"/>
        <v>130.01725790987535</v>
      </c>
      <c r="L67" s="26">
        <f t="shared" si="14"/>
        <v>0.77957989912472669</v>
      </c>
      <c r="M67" s="26">
        <f t="shared" si="15"/>
        <v>3.0818263719129959</v>
      </c>
    </row>
    <row r="68" spans="1:13" x14ac:dyDescent="0.3">
      <c r="A68" s="14" t="s">
        <v>297</v>
      </c>
      <c r="B68" s="22">
        <v>710</v>
      </c>
      <c r="C68" s="22">
        <v>141</v>
      </c>
      <c r="D68" s="23">
        <f t="shared" si="8"/>
        <v>851</v>
      </c>
      <c r="E68" s="24">
        <f t="shared" si="9"/>
        <v>0.16568742655699178</v>
      </c>
      <c r="F68" s="46">
        <f t="shared" si="10"/>
        <v>-3.620272547697617</v>
      </c>
      <c r="G68" s="47" t="str">
        <f t="shared" si="11"/>
        <v/>
      </c>
      <c r="I68" s="25">
        <f t="shared" si="12"/>
        <v>679.19148061909323</v>
      </c>
      <c r="J68" s="25">
        <f t="shared" si="13"/>
        <v>171.80851938090672</v>
      </c>
      <c r="L68" s="26">
        <f t="shared" si="14"/>
        <v>1.3974923030226032</v>
      </c>
      <c r="M68" s="26">
        <f t="shared" si="15"/>
        <v>5.524550644309822</v>
      </c>
    </row>
    <row r="69" spans="1:13" x14ac:dyDescent="0.3">
      <c r="A69" s="14" t="s">
        <v>298</v>
      </c>
      <c r="B69" s="22">
        <v>709</v>
      </c>
      <c r="C69" s="22">
        <v>140</v>
      </c>
      <c r="D69" s="23">
        <f t="shared" si="8"/>
        <v>849</v>
      </c>
      <c r="E69" s="24">
        <f t="shared" si="9"/>
        <v>0.16489988221436985</v>
      </c>
      <c r="F69" s="46">
        <f t="shared" si="10"/>
        <v>-3.6990269819598103</v>
      </c>
      <c r="G69" s="47" t="str">
        <f t="shared" si="11"/>
        <v/>
      </c>
      <c r="I69" s="25">
        <f t="shared" si="12"/>
        <v>677.59526092316116</v>
      </c>
      <c r="J69" s="25">
        <f t="shared" si="13"/>
        <v>171.40473907683878</v>
      </c>
      <c r="L69" s="26">
        <f t="shared" si="14"/>
        <v>1.4555261722767114</v>
      </c>
      <c r="M69" s="26">
        <f t="shared" si="15"/>
        <v>5.7539694748007912</v>
      </c>
    </row>
    <row r="70" spans="1:13" x14ac:dyDescent="0.3">
      <c r="A70" s="14" t="s">
        <v>299</v>
      </c>
      <c r="B70" s="22">
        <v>3246</v>
      </c>
      <c r="C70" s="22">
        <v>631</v>
      </c>
      <c r="D70" s="23">
        <f t="shared" si="8"/>
        <v>3877</v>
      </c>
      <c r="E70" s="24">
        <f t="shared" si="9"/>
        <v>0.16275470724787205</v>
      </c>
      <c r="F70" s="46">
        <f t="shared" si="10"/>
        <v>-3.9135444786095901</v>
      </c>
      <c r="G70" s="47" t="str">
        <f t="shared" si="11"/>
        <v/>
      </c>
      <c r="I70" s="25">
        <f t="shared" si="12"/>
        <v>3094.2718805643062</v>
      </c>
      <c r="J70" s="25">
        <f t="shared" si="13"/>
        <v>782.72811943569377</v>
      </c>
      <c r="L70" s="26">
        <f t="shared" si="14"/>
        <v>7.4400127448702751</v>
      </c>
      <c r="M70" s="26">
        <f t="shared" si="15"/>
        <v>29.411773585046873</v>
      </c>
    </row>
    <row r="71" spans="1:13" x14ac:dyDescent="0.3">
      <c r="A71" s="14" t="s">
        <v>300</v>
      </c>
      <c r="B71" s="22">
        <v>2635</v>
      </c>
      <c r="C71" s="22">
        <v>496</v>
      </c>
      <c r="D71" s="23">
        <f t="shared" ref="D71:D102" si="16">B71+C71</f>
        <v>3131</v>
      </c>
      <c r="E71" s="24">
        <f t="shared" ref="E71:E102" si="17">C71/D71</f>
        <v>0.15841584158415842</v>
      </c>
      <c r="F71" s="46">
        <f t="shared" ref="F71:F102" si="18">(E71-$E$76)*100</f>
        <v>-4.3474310449809543</v>
      </c>
      <c r="G71" s="47" t="str">
        <f t="shared" ref="G71:G102" si="19">IF(F71&gt;=$C$85,"Above","")</f>
        <v/>
      </c>
      <c r="I71" s="25">
        <f t="shared" si="12"/>
        <v>2498.8819339816464</v>
      </c>
      <c r="J71" s="25">
        <f t="shared" si="13"/>
        <v>632.1180660183536</v>
      </c>
      <c r="L71" s="26">
        <f t="shared" si="14"/>
        <v>7.4145671488587235</v>
      </c>
      <c r="M71" s="26">
        <f t="shared" si="15"/>
        <v>29.311182344911661</v>
      </c>
    </row>
    <row r="72" spans="1:13" x14ac:dyDescent="0.3">
      <c r="A72" s="14" t="s">
        <v>301</v>
      </c>
      <c r="B72" s="22">
        <v>472</v>
      </c>
      <c r="C72" s="22">
        <v>88</v>
      </c>
      <c r="D72" s="23">
        <f t="shared" si="16"/>
        <v>560</v>
      </c>
      <c r="E72" s="24">
        <f t="shared" si="17"/>
        <v>0.15714285714285714</v>
      </c>
      <c r="F72" s="46">
        <f t="shared" si="18"/>
        <v>-4.4747294891110814</v>
      </c>
      <c r="G72" s="47" t="str">
        <f t="shared" si="19"/>
        <v/>
      </c>
      <c r="I72" s="25">
        <f t="shared" si="12"/>
        <v>446.94151486097797</v>
      </c>
      <c r="J72" s="25">
        <f t="shared" si="13"/>
        <v>113.05848513902205</v>
      </c>
      <c r="L72" s="26">
        <f t="shared" si="14"/>
        <v>1.4049437266034814</v>
      </c>
      <c r="M72" s="26">
        <f t="shared" si="15"/>
        <v>5.5540075270817546</v>
      </c>
    </row>
    <row r="73" spans="1:13" x14ac:dyDescent="0.3">
      <c r="A73" s="14" t="s">
        <v>302</v>
      </c>
      <c r="B73" s="22">
        <v>258</v>
      </c>
      <c r="C73" s="22">
        <v>47</v>
      </c>
      <c r="D73" s="23">
        <f t="shared" si="16"/>
        <v>305</v>
      </c>
      <c r="E73" s="24">
        <f t="shared" si="17"/>
        <v>0.1540983606557377</v>
      </c>
      <c r="F73" s="46">
        <f t="shared" si="18"/>
        <v>-4.7791791378230251</v>
      </c>
      <c r="G73" s="47" t="str">
        <f t="shared" si="19"/>
        <v/>
      </c>
      <c r="I73" s="25">
        <f t="shared" si="12"/>
        <v>243.42350362963978</v>
      </c>
      <c r="J73" s="25">
        <f t="shared" si="13"/>
        <v>61.576496370360225</v>
      </c>
      <c r="L73" s="26">
        <f t="shared" si="14"/>
        <v>0.87285838576375363</v>
      </c>
      <c r="M73" s="26">
        <f t="shared" si="15"/>
        <v>3.4505738221474878</v>
      </c>
    </row>
    <row r="74" spans="1:13" x14ac:dyDescent="0.3">
      <c r="A74" s="14" t="s">
        <v>303</v>
      </c>
      <c r="B74" s="22">
        <v>400</v>
      </c>
      <c r="C74" s="22">
        <v>69</v>
      </c>
      <c r="D74" s="23">
        <f t="shared" si="16"/>
        <v>469</v>
      </c>
      <c r="E74" s="24">
        <f t="shared" si="17"/>
        <v>0.14712153518123666</v>
      </c>
      <c r="F74" s="46">
        <f t="shared" si="18"/>
        <v>-5.4768616852731293</v>
      </c>
      <c r="G74" s="47" t="str">
        <f t="shared" si="19"/>
        <v/>
      </c>
      <c r="I74" s="25">
        <f t="shared" si="12"/>
        <v>374.31351869606902</v>
      </c>
      <c r="J74" s="25">
        <f t="shared" si="13"/>
        <v>94.686481303930975</v>
      </c>
      <c r="L74" s="26">
        <f t="shared" si="14"/>
        <v>1.7626809848482361</v>
      </c>
      <c r="M74" s="26">
        <f t="shared" si="15"/>
        <v>6.9682103790438745</v>
      </c>
    </row>
    <row r="75" spans="1:13" x14ac:dyDescent="0.3">
      <c r="A75" s="14" t="s">
        <v>304</v>
      </c>
      <c r="B75" s="22">
        <v>317</v>
      </c>
      <c r="C75" s="22">
        <v>54</v>
      </c>
      <c r="D75" s="23">
        <f t="shared" si="16"/>
        <v>371</v>
      </c>
      <c r="E75" s="24">
        <f t="shared" si="17"/>
        <v>0.14555256064690028</v>
      </c>
      <c r="F75" s="46">
        <f t="shared" si="18"/>
        <v>-5.6337591387067674</v>
      </c>
      <c r="G75" s="47" t="str">
        <f t="shared" si="19"/>
        <v/>
      </c>
      <c r="I75" s="25">
        <f t="shared" si="12"/>
        <v>296.09875359539791</v>
      </c>
      <c r="J75" s="25">
        <f t="shared" si="13"/>
        <v>74.901246404602105</v>
      </c>
      <c r="L75" s="26">
        <f t="shared" si="14"/>
        <v>1.4753932462101447</v>
      </c>
      <c r="M75" s="26">
        <f t="shared" si="15"/>
        <v>5.8325077650383479</v>
      </c>
    </row>
    <row r="76" spans="1:13" x14ac:dyDescent="0.3">
      <c r="A76" s="27" t="s">
        <v>110</v>
      </c>
      <c r="B76" s="28">
        <f>SUM(B7:B75)</f>
        <v>87405</v>
      </c>
      <c r="C76" s="28">
        <f>SUM(C7:C75)</f>
        <v>22110</v>
      </c>
      <c r="D76" s="28">
        <f>SUM(D7:D75)</f>
        <v>109515</v>
      </c>
      <c r="E76" s="29">
        <f t="shared" si="17"/>
        <v>0.20189015203396796</v>
      </c>
      <c r="F76" s="27"/>
      <c r="G76" s="27"/>
      <c r="I76" s="30">
        <f>SUM(I7:I75)</f>
        <v>87405.000000000015</v>
      </c>
      <c r="J76" s="30">
        <f>SUM(J7:J75)</f>
        <v>22110.000000000004</v>
      </c>
      <c r="L76" s="31">
        <f>SUM(L7:L75)</f>
        <v>96.639344956619993</v>
      </c>
      <c r="M76" s="31">
        <f>SUM(M7:M75)</f>
        <v>382.03355703000346</v>
      </c>
    </row>
    <row r="78" spans="1:13" x14ac:dyDescent="0.3">
      <c r="A78" s="18" t="s">
        <v>122</v>
      </c>
    </row>
    <row r="79" spans="1:13" ht="30" customHeight="1" x14ac:dyDescent="0.3">
      <c r="A79" s="9" t="s">
        <v>123</v>
      </c>
      <c r="B79" s="9" t="s">
        <v>124</v>
      </c>
      <c r="C79" s="9" t="s">
        <v>125</v>
      </c>
      <c r="D79" s="9" t="s">
        <v>126</v>
      </c>
    </row>
    <row r="80" spans="1:13" x14ac:dyDescent="0.3">
      <c r="A80" s="14" t="s">
        <v>75</v>
      </c>
      <c r="B80" s="32">
        <f>SUM(L7:M75)</f>
        <v>478.6729019866234</v>
      </c>
      <c r="C80" s="14" t="s">
        <v>127</v>
      </c>
      <c r="D80" s="33" t="str">
        <f>IF(B80&gt;B82,"Yes","No")</f>
        <v>Yes</v>
      </c>
    </row>
    <row r="81" spans="1:13" x14ac:dyDescent="0.3">
      <c r="A81" s="14" t="s">
        <v>77</v>
      </c>
      <c r="B81" s="34">
        <f>(69-1)*(2-1)</f>
        <v>68</v>
      </c>
      <c r="C81" s="14" t="s">
        <v>128</v>
      </c>
      <c r="D81" s="33" t="s">
        <v>129</v>
      </c>
    </row>
    <row r="82" spans="1:13" x14ac:dyDescent="0.3">
      <c r="A82" s="14" t="s">
        <v>130</v>
      </c>
      <c r="B82" s="32">
        <f>CHIINV(0.05,B81)</f>
        <v>88.250164421874132</v>
      </c>
      <c r="C82" s="14"/>
      <c r="D82" s="33" t="s">
        <v>129</v>
      </c>
    </row>
    <row r="83" spans="1:13" x14ac:dyDescent="0.3">
      <c r="A83" s="14" t="s">
        <v>79</v>
      </c>
      <c r="B83" s="35">
        <f>CHITEST(B7:C75,I7:J75)</f>
        <v>4.9001162383795477E-63</v>
      </c>
      <c r="C83" s="14" t="s">
        <v>131</v>
      </c>
      <c r="D83" s="33" t="str">
        <f>IF(B83&lt;0.05,"Yes","No")</f>
        <v>Yes</v>
      </c>
    </row>
    <row r="84" spans="1:13" x14ac:dyDescent="0.3">
      <c r="A84" s="14" t="s">
        <v>81</v>
      </c>
      <c r="B84" s="36">
        <f>SQRT(B80/D76)</f>
        <v>6.611235347210144E-2</v>
      </c>
      <c r="C84" s="14" t="s">
        <v>132</v>
      </c>
      <c r="D84" s="33" t="s">
        <v>129</v>
      </c>
    </row>
    <row r="85" spans="1:13" x14ac:dyDescent="0.3">
      <c r="A85" s="14" t="s">
        <v>305</v>
      </c>
      <c r="B85" s="34">
        <f>COUNTIF(G7:G75,"Above")</f>
        <v>6</v>
      </c>
      <c r="C85" s="38">
        <v>3</v>
      </c>
      <c r="D85" s="33" t="str">
        <f>IF(B85&gt;=1,"Yes","No")</f>
        <v>Yes</v>
      </c>
    </row>
    <row r="86" spans="1:13" x14ac:dyDescent="0.3">
      <c r="A86" s="14" t="s">
        <v>306</v>
      </c>
      <c r="B86" s="40">
        <f>SUMIF(G7:G75,"Above",D7:D75)/D76</f>
        <v>9.9191891521709361E-2</v>
      </c>
      <c r="C86" s="14"/>
      <c r="D86" s="33" t="s">
        <v>129</v>
      </c>
    </row>
    <row r="87" spans="1:13" x14ac:dyDescent="0.3">
      <c r="A87" s="14" t="s">
        <v>307</v>
      </c>
      <c r="B87" s="40">
        <f>SUMIF(G7:G75,"Above",C7:C75)/C76</f>
        <v>0.12559927634554499</v>
      </c>
      <c r="C87" s="14"/>
      <c r="D87" s="33" t="s">
        <v>129</v>
      </c>
    </row>
    <row r="88" spans="1:13" x14ac:dyDescent="0.3">
      <c r="A88" s="14" t="s">
        <v>308</v>
      </c>
      <c r="B88" s="48">
        <f>SUMIF(G7:G75,"Above",C7:C75)-SUMIF(G7:G75,"Above",D7:D75)*E76</f>
        <v>583.86727845500627</v>
      </c>
      <c r="C88" s="14"/>
      <c r="D88" s="33" t="s">
        <v>129</v>
      </c>
    </row>
    <row r="90" spans="1:13" x14ac:dyDescent="0.3">
      <c r="A90" s="39" t="s">
        <v>11</v>
      </c>
      <c r="B90" s="1" t="str">
        <f>IF(AND(D83="Yes",D85="Yes"),"Confirmed (limited impact)","Rejected")</f>
        <v>Confirmed (limited impact)</v>
      </c>
      <c r="C90" s="1"/>
      <c r="D90" s="1"/>
    </row>
    <row r="92" spans="1:13" x14ac:dyDescent="0.3">
      <c r="A92" s="18" t="s">
        <v>133</v>
      </c>
    </row>
    <row r="93" spans="1:13" ht="48" customHeight="1" x14ac:dyDescent="0.3">
      <c r="A93" s="2" t="s">
        <v>309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5" spans="1:13" x14ac:dyDescent="0.3">
      <c r="A95" s="18" t="s">
        <v>310</v>
      </c>
    </row>
    <row r="96" spans="1:13" ht="30" customHeight="1" x14ac:dyDescent="0.3">
      <c r="A96" s="9" t="s">
        <v>233</v>
      </c>
      <c r="B96" s="9" t="s">
        <v>108</v>
      </c>
      <c r="C96" s="9" t="s">
        <v>109</v>
      </c>
      <c r="D96" s="9" t="s">
        <v>110</v>
      </c>
    </row>
    <row r="97" spans="1:4" x14ac:dyDescent="0.3">
      <c r="A97" s="14" t="s">
        <v>311</v>
      </c>
      <c r="B97" s="22">
        <v>141</v>
      </c>
      <c r="C97" s="22">
        <v>37</v>
      </c>
      <c r="D97" s="23">
        <f t="shared" ref="D97:D108" si="20">B97+C97</f>
        <v>178</v>
      </c>
    </row>
    <row r="98" spans="1:4" x14ac:dyDescent="0.3">
      <c r="A98" s="14" t="s">
        <v>312</v>
      </c>
      <c r="B98" s="22">
        <v>133</v>
      </c>
      <c r="C98" s="22">
        <v>42</v>
      </c>
      <c r="D98" s="23">
        <f t="shared" si="20"/>
        <v>175</v>
      </c>
    </row>
    <row r="99" spans="1:4" x14ac:dyDescent="0.3">
      <c r="A99" s="14" t="s">
        <v>313</v>
      </c>
      <c r="B99" s="22">
        <v>120</v>
      </c>
      <c r="C99" s="22">
        <v>32</v>
      </c>
      <c r="D99" s="23">
        <f t="shared" si="20"/>
        <v>152</v>
      </c>
    </row>
    <row r="100" spans="1:4" x14ac:dyDescent="0.3">
      <c r="A100" s="14" t="s">
        <v>314</v>
      </c>
      <c r="B100" s="22">
        <v>117</v>
      </c>
      <c r="C100" s="22">
        <v>28</v>
      </c>
      <c r="D100" s="23">
        <f t="shared" si="20"/>
        <v>145</v>
      </c>
    </row>
    <row r="101" spans="1:4" x14ac:dyDescent="0.3">
      <c r="A101" s="14" t="s">
        <v>315</v>
      </c>
      <c r="B101" s="22">
        <v>106</v>
      </c>
      <c r="C101" s="22">
        <v>29</v>
      </c>
      <c r="D101" s="23">
        <f t="shared" si="20"/>
        <v>135</v>
      </c>
    </row>
    <row r="102" spans="1:4" x14ac:dyDescent="0.3">
      <c r="A102" s="14" t="s">
        <v>316</v>
      </c>
      <c r="B102" s="22">
        <v>80</v>
      </c>
      <c r="C102" s="22">
        <v>16</v>
      </c>
      <c r="D102" s="23">
        <f t="shared" si="20"/>
        <v>96</v>
      </c>
    </row>
    <row r="103" spans="1:4" x14ac:dyDescent="0.3">
      <c r="A103" s="14" t="s">
        <v>317</v>
      </c>
      <c r="B103" s="22">
        <v>57</v>
      </c>
      <c r="C103" s="22">
        <v>12</v>
      </c>
      <c r="D103" s="23">
        <f t="shared" si="20"/>
        <v>69</v>
      </c>
    </row>
    <row r="104" spans="1:4" x14ac:dyDescent="0.3">
      <c r="A104" s="14" t="s">
        <v>318</v>
      </c>
      <c r="B104" s="22">
        <v>32</v>
      </c>
      <c r="C104" s="22">
        <v>3</v>
      </c>
      <c r="D104" s="23">
        <f t="shared" si="20"/>
        <v>35</v>
      </c>
    </row>
    <row r="105" spans="1:4" x14ac:dyDescent="0.3">
      <c r="A105" s="14" t="s">
        <v>319</v>
      </c>
      <c r="B105" s="22">
        <v>8</v>
      </c>
      <c r="C105" s="22">
        <v>2</v>
      </c>
      <c r="D105" s="23">
        <f t="shared" si="20"/>
        <v>10</v>
      </c>
    </row>
    <row r="106" spans="1:4" x14ac:dyDescent="0.3">
      <c r="A106" s="14" t="s">
        <v>320</v>
      </c>
      <c r="B106" s="22">
        <v>7</v>
      </c>
      <c r="C106" s="22">
        <v>1</v>
      </c>
      <c r="D106" s="23">
        <f t="shared" si="20"/>
        <v>8</v>
      </c>
    </row>
    <row r="107" spans="1:4" x14ac:dyDescent="0.3">
      <c r="A107" s="14" t="s">
        <v>321</v>
      </c>
      <c r="B107" s="22">
        <v>0</v>
      </c>
      <c r="C107" s="22">
        <v>2</v>
      </c>
      <c r="D107" s="23">
        <f t="shared" si="20"/>
        <v>2</v>
      </c>
    </row>
    <row r="108" spans="1:4" x14ac:dyDescent="0.3">
      <c r="A108" s="14" t="s">
        <v>322</v>
      </c>
      <c r="B108" s="22">
        <v>1</v>
      </c>
      <c r="C108" s="22">
        <v>0</v>
      </c>
      <c r="D108" s="23">
        <f t="shared" si="20"/>
        <v>1</v>
      </c>
    </row>
  </sheetData>
  <mergeCells count="2">
    <mergeCell ref="B90:D90"/>
    <mergeCell ref="A93:M93"/>
  </mergeCells>
  <hyperlinks>
    <hyperlink ref="L1" r:id="rId1" location="'Overview'!A1" xr:uid="{00000000-0004-0000-0F00-000000000000}"/>
  </hyperlinks>
  <pageMargins left="0.75" right="0.75" top="1" bottom="1" header="0.511811023622047" footer="0.511811023622047"/>
  <pageSetup fitToHeight="0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L23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16" customWidth="1"/>
    <col min="2" max="5" width="13" customWidth="1"/>
    <col min="6" max="7" width="14" customWidth="1"/>
    <col min="8" max="8" width="13" customWidth="1"/>
    <col min="9" max="11" width="3" customWidth="1"/>
    <col min="12" max="12" width="20" customWidth="1"/>
  </cols>
  <sheetData>
    <row r="1" spans="1:12" ht="21" x14ac:dyDescent="0.4">
      <c r="A1" s="3" t="s">
        <v>323</v>
      </c>
      <c r="L1" s="17" t="s">
        <v>55</v>
      </c>
    </row>
    <row r="2" spans="1:12" x14ac:dyDescent="0.3">
      <c r="A2" s="21" t="s">
        <v>324</v>
      </c>
    </row>
    <row r="3" spans="1:12" x14ac:dyDescent="0.3">
      <c r="A3" s="4" t="s">
        <v>325</v>
      </c>
    </row>
    <row r="5" spans="1:12" x14ac:dyDescent="0.3">
      <c r="A5" s="18" t="s">
        <v>165</v>
      </c>
    </row>
    <row r="6" spans="1:12" ht="30" customHeight="1" x14ac:dyDescent="0.3">
      <c r="A6" s="9" t="s">
        <v>107</v>
      </c>
      <c r="B6" s="9" t="s">
        <v>326</v>
      </c>
      <c r="C6" s="9" t="s">
        <v>327</v>
      </c>
      <c r="D6" s="9" t="s">
        <v>328</v>
      </c>
      <c r="E6" s="9" t="s">
        <v>329</v>
      </c>
      <c r="F6" s="9" t="s">
        <v>330</v>
      </c>
      <c r="G6" s="9" t="s">
        <v>331</v>
      </c>
      <c r="H6" s="9" t="s">
        <v>172</v>
      </c>
    </row>
    <row r="7" spans="1:12" x14ac:dyDescent="0.3">
      <c r="A7" s="14" t="s">
        <v>116</v>
      </c>
      <c r="B7" s="22">
        <v>33362</v>
      </c>
      <c r="C7" s="22">
        <v>1583</v>
      </c>
      <c r="D7" s="22">
        <v>3408</v>
      </c>
      <c r="E7" s="22">
        <v>209</v>
      </c>
      <c r="F7" s="24">
        <f t="shared" ref="F7:F12" si="0">C7/(B7+C7)</f>
        <v>4.5299756760623838E-2</v>
      </c>
      <c r="G7" s="24">
        <f t="shared" ref="G7:G12" si="1">E7/(D7+E7)</f>
        <v>5.7782692839369647E-2</v>
      </c>
      <c r="H7" s="37">
        <f t="shared" ref="H7:H12" si="2">(G7-F7)*100</f>
        <v>1.2482936078745808</v>
      </c>
    </row>
    <row r="8" spans="1:12" x14ac:dyDescent="0.3">
      <c r="A8" s="14" t="s">
        <v>117</v>
      </c>
      <c r="B8" s="22">
        <v>10356</v>
      </c>
      <c r="C8" s="22">
        <v>3018</v>
      </c>
      <c r="D8" s="22">
        <v>960</v>
      </c>
      <c r="E8" s="22">
        <v>341</v>
      </c>
      <c r="F8" s="24">
        <f t="shared" si="0"/>
        <v>0.22566173171825932</v>
      </c>
      <c r="G8" s="24">
        <f t="shared" si="1"/>
        <v>0.26210607225211374</v>
      </c>
      <c r="H8" s="37">
        <f t="shared" si="2"/>
        <v>3.6444340533854422</v>
      </c>
    </row>
    <row r="9" spans="1:12" x14ac:dyDescent="0.3">
      <c r="A9" s="14" t="s">
        <v>118</v>
      </c>
      <c r="B9" s="22">
        <v>11966</v>
      </c>
      <c r="C9" s="22">
        <v>3939</v>
      </c>
      <c r="D9" s="22">
        <v>1131</v>
      </c>
      <c r="E9" s="22">
        <v>474</v>
      </c>
      <c r="F9" s="24">
        <f t="shared" si="0"/>
        <v>0.24765796919207797</v>
      </c>
      <c r="G9" s="24">
        <f t="shared" si="1"/>
        <v>0.29532710280373831</v>
      </c>
      <c r="H9" s="37">
        <f t="shared" si="2"/>
        <v>4.7669133611660337</v>
      </c>
    </row>
    <row r="10" spans="1:12" x14ac:dyDescent="0.3">
      <c r="A10" s="14" t="s">
        <v>119</v>
      </c>
      <c r="B10" s="22">
        <v>8530</v>
      </c>
      <c r="C10" s="22">
        <v>3666</v>
      </c>
      <c r="D10" s="22">
        <v>832</v>
      </c>
      <c r="E10" s="22">
        <v>500</v>
      </c>
      <c r="F10" s="24">
        <f t="shared" si="0"/>
        <v>0.30059035749426044</v>
      </c>
      <c r="G10" s="24">
        <f t="shared" si="1"/>
        <v>0.37537537537537535</v>
      </c>
      <c r="H10" s="37">
        <f t="shared" si="2"/>
        <v>7.4785017881114912</v>
      </c>
    </row>
    <row r="11" spans="1:12" x14ac:dyDescent="0.3">
      <c r="A11" s="14" t="s">
        <v>120</v>
      </c>
      <c r="B11" s="22">
        <v>9544</v>
      </c>
      <c r="C11" s="22">
        <v>4280</v>
      </c>
      <c r="D11" s="22">
        <v>1165</v>
      </c>
      <c r="E11" s="22">
        <v>879</v>
      </c>
      <c r="F11" s="24">
        <f t="shared" si="0"/>
        <v>0.30960648148148145</v>
      </c>
      <c r="G11" s="24">
        <f t="shared" si="1"/>
        <v>0.43003913894324852</v>
      </c>
      <c r="H11" s="37">
        <f t="shared" si="2"/>
        <v>12.043265746176706</v>
      </c>
    </row>
    <row r="12" spans="1:12" x14ac:dyDescent="0.3">
      <c r="A12" s="14" t="s">
        <v>121</v>
      </c>
      <c r="B12" s="22">
        <v>6363</v>
      </c>
      <c r="C12" s="22">
        <v>3051</v>
      </c>
      <c r="D12" s="22">
        <v>590</v>
      </c>
      <c r="E12" s="22">
        <v>374</v>
      </c>
      <c r="F12" s="24">
        <f t="shared" si="0"/>
        <v>0.32409177820267687</v>
      </c>
      <c r="G12" s="24">
        <f t="shared" si="1"/>
        <v>0.38796680497925312</v>
      </c>
      <c r="H12" s="37">
        <f t="shared" si="2"/>
        <v>6.3875026776576247</v>
      </c>
    </row>
    <row r="14" spans="1:12" x14ac:dyDescent="0.3">
      <c r="A14" s="18" t="s">
        <v>122</v>
      </c>
    </row>
    <row r="15" spans="1:12" ht="30" customHeight="1" x14ac:dyDescent="0.3">
      <c r="A15" s="9" t="s">
        <v>123</v>
      </c>
      <c r="B15" s="9" t="s">
        <v>124</v>
      </c>
      <c r="C15" s="9" t="s">
        <v>125</v>
      </c>
      <c r="D15" s="9" t="s">
        <v>126</v>
      </c>
    </row>
    <row r="16" spans="1:12" x14ac:dyDescent="0.3">
      <c r="A16" s="14" t="s">
        <v>332</v>
      </c>
      <c r="B16" s="49">
        <f>COUNTIF(H7:H12,"&gt;0")</f>
        <v>6</v>
      </c>
      <c r="C16" s="14" t="s">
        <v>333</v>
      </c>
      <c r="D16" s="33" t="str">
        <f>IF(B16=6,"Yes","No")</f>
        <v>Yes</v>
      </c>
    </row>
    <row r="17" spans="1:11" x14ac:dyDescent="0.3">
      <c r="A17" s="14" t="s">
        <v>334</v>
      </c>
      <c r="B17" s="49">
        <f>COUNTIF(H7:H12,"&gt;="&amp;C17)</f>
        <v>5</v>
      </c>
      <c r="C17" s="38">
        <v>3</v>
      </c>
      <c r="D17" s="33" t="str">
        <f>IF(B17&gt;=4,"Yes","No")</f>
        <v>Yes</v>
      </c>
    </row>
    <row r="18" spans="1:11" x14ac:dyDescent="0.3">
      <c r="A18" s="14" t="s">
        <v>335</v>
      </c>
      <c r="B18" s="37">
        <f>MAX(H7:H12)</f>
        <v>12.043265746176706</v>
      </c>
      <c r="C18" s="14"/>
      <c r="D18" s="33" t="s">
        <v>129</v>
      </c>
    </row>
    <row r="20" spans="1:11" x14ac:dyDescent="0.3">
      <c r="A20" s="39" t="s">
        <v>11</v>
      </c>
      <c r="B20" s="1" t="str">
        <f>IF(AND(D16="Yes",D17="Yes"),"Confirmed","Rejected")</f>
        <v>Confirmed</v>
      </c>
      <c r="C20" s="1"/>
      <c r="D20" s="1"/>
    </row>
    <row r="22" spans="1:11" x14ac:dyDescent="0.3">
      <c r="A22" s="18" t="s">
        <v>133</v>
      </c>
    </row>
    <row r="23" spans="1:11" ht="48" customHeight="1" x14ac:dyDescent="0.3">
      <c r="A23" s="2" t="s">
        <v>336</v>
      </c>
      <c r="B23" s="2"/>
      <c r="C23" s="2"/>
      <c r="D23" s="2"/>
      <c r="E23" s="2"/>
      <c r="F23" s="2"/>
      <c r="G23" s="2"/>
      <c r="H23" s="2"/>
      <c r="I23" s="2"/>
      <c r="J23" s="2"/>
      <c r="K23" s="2"/>
    </row>
  </sheetData>
  <mergeCells count="2">
    <mergeCell ref="B20:D20"/>
    <mergeCell ref="A23:K23"/>
  </mergeCells>
  <hyperlinks>
    <hyperlink ref="L1" r:id="rId1" location="'Overview'!A1" xr:uid="{00000000-0004-0000-1000-000000000000}"/>
  </hyperlink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17</vt:i4>
      </vt:variant>
    </vt:vector>
  </HeadingPairs>
  <TitlesOfParts>
    <vt:vector size="17" baseType="lpstr">
      <vt:lpstr>Overview</vt:lpstr>
      <vt:lpstr>Method</vt:lpstr>
      <vt:lpstr>H1.1_Lead_Time</vt:lpstr>
      <vt:lpstr>H1.2_Weekday</vt:lpstr>
      <vt:lpstr>H1.3_Concentration</vt:lpstr>
      <vt:lpstr>H2.1_SMS_Raw</vt:lpstr>
      <vt:lpstr>H2.2_SMS_Controlled</vt:lpstr>
      <vt:lpstr>H3.1_Age</vt:lpstr>
      <vt:lpstr>H3.1_Gender</vt:lpstr>
      <vt:lpstr>H3.2_Scholarship</vt:lpstr>
      <vt:lpstr>H3.3_Hypertension</vt:lpstr>
      <vt:lpstr>H3.3_Diabetes</vt:lpstr>
      <vt:lpstr>H3.3_Alcoholism</vt:lpstr>
      <vt:lpstr>H3.3_Disability</vt:lpstr>
      <vt:lpstr>H3.4_History</vt:lpstr>
      <vt:lpstr>H4.1_Neighborhoods</vt:lpstr>
      <vt:lpstr>H4.2_Neighborhoods_Ctrl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Vitoria Rodrigues Miranda</cp:lastModifiedBy>
  <cp:revision>0</cp:revision>
  <dcterms:created xsi:type="dcterms:W3CDTF">2026-10-26T22:45:56Z</dcterms:created>
  <dcterms:modified xsi:type="dcterms:W3CDTF">2026-10-26T23:48:58Z</dcterms:modified>
  <dc:language>en-US</dc:language>
</cp:coreProperties>
</file>